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rate" sheetId="1" state="visible" r:id="rId3"/>
    <sheet name="Rating" sheetId="2" state="visible" r:id="rId4"/>
    <sheet name="Progress" sheetId="3" state="visible" r:id="rId5"/>
  </sheets>
  <definedNames>
    <definedName function="false" hidden="true" localSheetId="1" name="_xlnm._FilterDatabase" vbProcedure="false">Rating!$A$1:$H$310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<sst xmlns="http://schemas.openxmlformats.org/spreadsheetml/2006/main" count="698" uniqueCount="484">
  <si>
    <t xml:space="preserve">E2 blinded audit: how to rate</t>
  </si>
  <si>
    <t xml:space="preserve">What you are doing</t>
  </si>
  <si>
    <t xml:space="preserve">Each row is one object name that some method proposed for a photo. The method is hidden. You judge each name by looking at the photo. There are 50 photos and about 21 names per photo (1,045 rows).</t>
  </si>
  <si>
    <t xml:space="preserve">Steps</t>
  </si>
  <si>
    <t xml:space="preserve">1. Go to the 'Rating' sheet. Rows are grouped by photo. The scene numbers are not consecutive; that is fine.</t>
  </si>
  <si>
    <t xml:space="preserve">2. Click 'Open photo' in the first row of a scene. The photo opens in your browser. Keep it open beside Excel.</t>
  </si>
  <si>
    <t xml:space="preserve">3. For every name in that scene, fill column D (yellow): Y or N from the drop-down.</t>
  </si>
  <si>
    <t xml:space="preserve">4. Only if D is Y, fill column E: Y or N. If D is N, leave E empty (it turns grey).</t>
  </si>
  <si>
    <t xml:space="preserve">5. Use column F for a short note only if you were unsure (optional).</t>
  </si>
  <si>
    <t xml:space="preserve">6. Move to the next scene. Save often (Ctrl+S). The 'Progress' sheet shows how far you are and flags mistakes.</t>
  </si>
  <si>
    <t xml:space="preserve">7. When Progress says 100% and 0 problems, save and close. Send the file back (or leave it in the folder).</t>
  </si>
  <si>
    <t xml:space="preserve">Column D: 'Can you point to this thing in the photo?'</t>
  </si>
  <si>
    <t xml:space="preserve">Y = you can point to it, even if it is small, partly hidden or at the edge.</t>
  </si>
  <si>
    <t xml:space="preserve">N = it is not there, OR you cannot tell, OR the name is not a thing you could point to (e.g. 'object', 'area', 'room', 'kitchen', 'furniture', 'group of people').</t>
  </si>
  <si>
    <t xml:space="preserve">Accept close names: 'couch' for a sofa, 'tv' for a television, 'cup' for a mug. Plural is fine: 'sinks' = Y if one sink is there.</t>
  </si>
  <si>
    <t xml:space="preserve">A picture of the thing (e.g. a poster showing a dog) does not count: N. A person counts as 'person', 'man', 'woman': Y if visible.</t>
  </si>
  <si>
    <t xml:space="preserve">Column E (only when D = Y): 'Would a person in this room who cannot move or speak plausibly want, use or talk about it?'</t>
  </si>
  <si>
    <t xml:space="preserve">Imagine someone with severe paralysis lying or sitting in this room, choosing items on a screen to say what they need.</t>
  </si>
  <si>
    <t xml:space="preserve">Y = they could ask for it, ask to use it, or mention it (water bottle, blanket, tv, window, toilet, phone, book, lamp, person).</t>
  </si>
  <si>
    <t xml:space="preserve">N = it is a background part they would hardly ever name (floor, wall, ceiling, tiles, cabinet handle, electric outlet, shower head).</t>
  </si>
  <si>
    <t xml:space="preserve">When in doubt, answer Y. Do not think about which method might have produced the name.</t>
  </si>
  <si>
    <t xml:space="preserve">Example (a bathroom photo with a sink, a mirror and a towel; no bathtub)</t>
  </si>
  <si>
    <t xml:space="preserve">Item</t>
  </si>
  <si>
    <t xml:space="preserve">D: in photo?</t>
  </si>
  <si>
    <t xml:space="preserve">E: would they want it?</t>
  </si>
  <si>
    <t xml:space="preserve">Why</t>
  </si>
  <si>
    <t xml:space="preserve">towel</t>
  </si>
  <si>
    <t xml:space="preserve">Y</t>
  </si>
  <si>
    <t xml:space="preserve">Visible, and a person may ask for it</t>
  </si>
  <si>
    <t xml:space="preserve">mirror</t>
  </si>
  <si>
    <t xml:space="preserve">Visible, and they might mention it</t>
  </si>
  <si>
    <t xml:space="preserve">tiles</t>
  </si>
  <si>
    <t xml:space="preserve">N</t>
  </si>
  <si>
    <t xml:space="preserve">Visible, but just the wall surface</t>
  </si>
  <si>
    <t xml:space="preserve">bathtub</t>
  </si>
  <si>
    <t xml:space="preserve">Not in this photo, so E stays empty</t>
  </si>
  <si>
    <t xml:space="preserve">object</t>
  </si>
  <si>
    <t xml:space="preserve">Not a thing you can point to</t>
  </si>
  <si>
    <t xml:space="preserve">Do not open the folder 'audit_key_private' until both raters have finished: it reveals the methods.</t>
  </si>
  <si>
    <t xml:space="preserve">Scene</t>
  </si>
  <si>
    <t xml:space="preserve">Photo</t>
  </si>
  <si>
    <t xml:space="preserve">Item (object name)</t>
  </si>
  <si>
    <t xml:space="preserve">D: In the photo? (Y/N)</t>
  </si>
  <si>
    <t xml:space="preserve">E: Would they want / mention it? (Y/N, only if D = Y)</t>
  </si>
  <si>
    <t xml:space="preserve">Notes (optional)</t>
  </si>
  <si>
    <t xml:space="preserve">item_uid</t>
  </si>
  <si>
    <t xml:space="preserve">image_id</t>
  </si>
  <si>
    <t xml:space="preserve">Open photo</t>
  </si>
  <si>
    <t xml:space="preserve">area</t>
  </si>
  <si>
    <t xml:space="preserve">U0261</t>
  </si>
  <si>
    <t xml:space="preserve">bathroom</t>
  </si>
  <si>
    <t xml:space="preserve">U0557</t>
  </si>
  <si>
    <t xml:space="preserve">U0114</t>
  </si>
  <si>
    <t xml:space="preserve">bed</t>
  </si>
  <si>
    <t xml:space="preserve">U0037</t>
  </si>
  <si>
    <t xml:space="preserve">book</t>
  </si>
  <si>
    <t xml:space="preserve">U0264</t>
  </si>
  <si>
    <t xml:space="preserve">bottle</t>
  </si>
  <si>
    <t xml:space="preserve">U0197</t>
  </si>
  <si>
    <t xml:space="preserve">chair</t>
  </si>
  <si>
    <t xml:space="preserve">U0602</t>
  </si>
  <si>
    <t xml:space="preserve">faucet</t>
  </si>
  <si>
    <t xml:space="preserve">U0213</t>
  </si>
  <si>
    <t xml:space="preserve">U0325</t>
  </si>
  <si>
    <t xml:space="preserve">person</t>
  </si>
  <si>
    <t xml:space="preserve">U0388</t>
  </si>
  <si>
    <t xml:space="preserve">shower curtain</t>
  </si>
  <si>
    <t xml:space="preserve">U0086</t>
  </si>
  <si>
    <t xml:space="preserve">shower head</t>
  </si>
  <si>
    <t xml:space="preserve">U0302</t>
  </si>
  <si>
    <t xml:space="preserve">sink</t>
  </si>
  <si>
    <t xml:space="preserve">U0432</t>
  </si>
  <si>
    <t xml:space="preserve">sofa</t>
  </si>
  <si>
    <t xml:space="preserve">U0992</t>
  </si>
  <si>
    <t xml:space="preserve">toilet</t>
  </si>
  <si>
    <t xml:space="preserve">U0025</t>
  </si>
  <si>
    <t xml:space="preserve">toilet paper</t>
  </si>
  <si>
    <t xml:space="preserve">U0699</t>
  </si>
  <si>
    <t xml:space="preserve">toilet tissue</t>
  </si>
  <si>
    <t xml:space="preserve">U0924</t>
  </si>
  <si>
    <t xml:space="preserve">U0981</t>
  </si>
  <si>
    <t xml:space="preserve">U0333</t>
  </si>
  <si>
    <t xml:space="preserve">banana</t>
  </si>
  <si>
    <t xml:space="preserve">U0368</t>
  </si>
  <si>
    <t xml:space="preserve">U0463</t>
  </si>
  <si>
    <t xml:space="preserve">U0668</t>
  </si>
  <si>
    <t xml:space="preserve">U0926</t>
  </si>
  <si>
    <t xml:space="preserve">cake</t>
  </si>
  <si>
    <t xml:space="preserve">U0537</t>
  </si>
  <si>
    <t xml:space="preserve">U0752</t>
  </si>
  <si>
    <t xml:space="preserve">dining table</t>
  </si>
  <si>
    <t xml:space="preserve">U0397</t>
  </si>
  <si>
    <t xml:space="preserve">doughnut</t>
  </si>
  <si>
    <t xml:space="preserve">U0713</t>
  </si>
  <si>
    <t xml:space="preserve">fork</t>
  </si>
  <si>
    <t xml:space="preserve">U0513</t>
  </si>
  <si>
    <t xml:space="preserve">knife</t>
  </si>
  <si>
    <t xml:space="preserve">U0029</t>
  </si>
  <si>
    <t xml:space="preserve">U0471</t>
  </si>
  <si>
    <t xml:space="preserve">U0818</t>
  </si>
  <si>
    <t xml:space="preserve">plate</t>
  </si>
  <si>
    <t xml:space="preserve">U0631</t>
  </si>
  <si>
    <t xml:space="preserve">plate of food</t>
  </si>
  <si>
    <t xml:space="preserve">U0283</t>
  </si>
  <si>
    <t xml:space="preserve">sandwich</t>
  </si>
  <si>
    <t xml:space="preserve">U0539</t>
  </si>
  <si>
    <t xml:space="preserve">sausage</t>
  </si>
  <si>
    <t xml:space="preserve">U1004</t>
  </si>
  <si>
    <t xml:space="preserve">scrambled eggs</t>
  </si>
  <si>
    <t xml:space="preserve">U0555</t>
  </si>
  <si>
    <t xml:space="preserve">U0139</t>
  </si>
  <si>
    <t xml:space="preserve">U0514</t>
  </si>
  <si>
    <t xml:space="preserve">table</t>
  </si>
  <si>
    <t xml:space="preserve">U0337</t>
  </si>
  <si>
    <t xml:space="preserve">whipped cream</t>
  </si>
  <si>
    <t xml:space="preserve">U0267</t>
  </si>
  <si>
    <t xml:space="preserve">alarm clock</t>
  </si>
  <si>
    <t xml:space="preserve">U0047</t>
  </si>
  <si>
    <t xml:space="preserve">U0745</t>
  </si>
  <si>
    <t xml:space="preserve">U0597</t>
  </si>
  <si>
    <t xml:space="preserve">bedspread</t>
  </si>
  <si>
    <t xml:space="preserve">U0581</t>
  </si>
  <si>
    <t xml:space="preserve">blanket</t>
  </si>
  <si>
    <t xml:space="preserve">U0305</t>
  </si>
  <si>
    <t xml:space="preserve">bookshelf</t>
  </si>
  <si>
    <t xml:space="preserve">U0258</t>
  </si>
  <si>
    <t xml:space="preserve">bookshelves</t>
  </si>
  <si>
    <t xml:space="preserve">U0415</t>
  </si>
  <si>
    <t xml:space="preserve">U0652</t>
  </si>
  <si>
    <t xml:space="preserve">bowl</t>
  </si>
  <si>
    <t xml:space="preserve">U0495</t>
  </si>
  <si>
    <t xml:space="preserve">cat</t>
  </si>
  <si>
    <t xml:space="preserve">U0406</t>
  </si>
  <si>
    <t xml:space="preserve">U0314</t>
  </si>
  <si>
    <t xml:space="preserve">comforter</t>
  </si>
  <si>
    <t xml:space="preserve">U0863</t>
  </si>
  <si>
    <t xml:space="preserve">U1032</t>
  </si>
  <si>
    <t xml:space="preserve">out from</t>
  </si>
  <si>
    <t xml:space="preserve">U0038</t>
  </si>
  <si>
    <t xml:space="preserve">U0102</t>
  </si>
  <si>
    <t xml:space="preserve">quilt</t>
  </si>
  <si>
    <t xml:space="preserve">U0275</t>
  </si>
  <si>
    <t xml:space="preserve">U0104</t>
  </si>
  <si>
    <t xml:space="preserve">U0180</t>
  </si>
  <si>
    <t xml:space="preserve">U0536</t>
  </si>
  <si>
    <t xml:space="preserve">U0579</t>
  </si>
  <si>
    <t xml:space="preserve">U0993</t>
  </si>
  <si>
    <t xml:space="preserve">U0395</t>
  </si>
  <si>
    <t xml:space="preserve">U1031</t>
  </si>
  <si>
    <t xml:space="preserve">U0948</t>
  </si>
  <si>
    <t xml:space="preserve">U0716</t>
  </si>
  <si>
    <t xml:space="preserve">U0994</t>
  </si>
  <si>
    <t xml:space="preserve">U0877</t>
  </si>
  <si>
    <t xml:space="preserve">U0175</t>
  </si>
  <si>
    <t xml:space="preserve">U1021</t>
  </si>
  <si>
    <t xml:space="preserve">U0027</t>
  </si>
  <si>
    <t xml:space="preserve">toilet bowl</t>
  </si>
  <si>
    <t xml:space="preserve">U1012</t>
  </si>
  <si>
    <t xml:space="preserve">toilet lid</t>
  </si>
  <si>
    <t xml:space="preserve">U0222</t>
  </si>
  <si>
    <t xml:space="preserve">U0721</t>
  </si>
  <si>
    <t xml:space="preserve">toilet seat</t>
  </si>
  <si>
    <t xml:space="preserve">U0265</t>
  </si>
  <si>
    <t xml:space="preserve">toilet tank</t>
  </si>
  <si>
    <t xml:space="preserve">U0946</t>
  </si>
  <si>
    <t xml:space="preserve">U0295</t>
  </si>
  <si>
    <t xml:space="preserve">wheelchair</t>
  </si>
  <si>
    <t xml:space="preserve">U0125</t>
  </si>
  <si>
    <t xml:space="preserve">U0299</t>
  </si>
  <si>
    <t xml:space="preserve">U0173</t>
  </si>
  <si>
    <t xml:space="preserve">U0235</t>
  </si>
  <si>
    <t xml:space="preserve">U0286</t>
  </si>
  <si>
    <t xml:space="preserve">bread</t>
  </si>
  <si>
    <t xml:space="preserve">U0859</t>
  </si>
  <si>
    <t xml:space="preserve">can</t>
  </si>
  <si>
    <t xml:space="preserve">U0564</t>
  </si>
  <si>
    <t xml:space="preserve">U0925</t>
  </si>
  <si>
    <t xml:space="preserve">U0101</t>
  </si>
  <si>
    <t xml:space="preserve">glass of wine</t>
  </si>
  <si>
    <t xml:space="preserve">U0246</t>
  </si>
  <si>
    <t xml:space="preserve">U0055</t>
  </si>
  <si>
    <t xml:space="preserve">napkin</t>
  </si>
  <si>
    <t xml:space="preserve">U0653</t>
  </si>
  <si>
    <t xml:space="preserve">U0042</t>
  </si>
  <si>
    <t xml:space="preserve">U0278</t>
  </si>
  <si>
    <t xml:space="preserve">U0155</t>
  </si>
  <si>
    <t xml:space="preserve">U0259</t>
  </si>
  <si>
    <t xml:space="preserve">U0171</t>
  </si>
  <si>
    <t xml:space="preserve">U0123</t>
  </si>
  <si>
    <t xml:space="preserve">U1019</t>
  </si>
  <si>
    <t xml:space="preserve">table topped</t>
  </si>
  <si>
    <t xml:space="preserve">U0894</t>
  </si>
  <si>
    <t xml:space="preserve">wine</t>
  </si>
  <si>
    <t xml:space="preserve">U0292</t>
  </si>
  <si>
    <t xml:space="preserve">wine bottle</t>
  </si>
  <si>
    <t xml:space="preserve">U0184</t>
  </si>
  <si>
    <t xml:space="preserve">wine glass</t>
  </si>
  <si>
    <t xml:space="preserve">U0791</t>
  </si>
  <si>
    <t xml:space="preserve">wineglass</t>
  </si>
  <si>
    <t xml:space="preserve">U0085</t>
  </si>
  <si>
    <t xml:space="preserve">U0956</t>
  </si>
  <si>
    <t xml:space="preserve">U0616</t>
  </si>
  <si>
    <t xml:space="preserve">U0138</t>
  </si>
  <si>
    <t xml:space="preserve">U0598</t>
  </si>
  <si>
    <t xml:space="preserve">U0789</t>
  </si>
  <si>
    <t xml:space="preserve">coffee maker</t>
  </si>
  <si>
    <t xml:space="preserve">U0462</t>
  </si>
  <si>
    <t xml:space="preserve">U0158</t>
  </si>
  <si>
    <t xml:space="preserve">dishwasher</t>
  </si>
  <si>
    <t xml:space="preserve">U0186</t>
  </si>
  <si>
    <t xml:space="preserve">kettle</t>
  </si>
  <si>
    <t xml:space="preserve">U0840</t>
  </si>
  <si>
    <t xml:space="preserve">kitchen</t>
  </si>
  <si>
    <t xml:space="preserve">U0071</t>
  </si>
  <si>
    <t xml:space="preserve">kitchen sink</t>
  </si>
  <si>
    <t xml:space="preserve">U0327</t>
  </si>
  <si>
    <t xml:space="preserve">microwave oven</t>
  </si>
  <si>
    <t xml:space="preserve">U0667</t>
  </si>
  <si>
    <t xml:space="preserve">U0919</t>
  </si>
  <si>
    <t xml:space="preserve">oven</t>
  </si>
  <si>
    <t xml:space="preserve">U0580</t>
  </si>
  <si>
    <t xml:space="preserve">U0109</t>
  </si>
  <si>
    <t xml:space="preserve">refrigerator</t>
  </si>
  <si>
    <t xml:space="preserve">U0566</t>
  </si>
  <si>
    <t xml:space="preserve">U0831</t>
  </si>
  <si>
    <t xml:space="preserve">U0482</t>
  </si>
  <si>
    <t xml:space="preserve">stainless steel appliances</t>
  </si>
  <si>
    <t xml:space="preserve">U0391</t>
  </si>
  <si>
    <t xml:space="preserve">stove</t>
  </si>
  <si>
    <t xml:space="preserve">U0401</t>
  </si>
  <si>
    <t xml:space="preserve">U0953</t>
  </si>
  <si>
    <t xml:space="preserve">toaster</t>
  </si>
  <si>
    <t xml:space="preserve">U0303</t>
  </si>
  <si>
    <t xml:space="preserve">U0796</t>
  </si>
  <si>
    <t xml:space="preserve">armchair</t>
  </si>
  <si>
    <t xml:space="preserve">U0181</t>
  </si>
  <si>
    <t xml:space="preserve">U0229</t>
  </si>
  <si>
    <t xml:space="preserve">U0761</t>
  </si>
  <si>
    <t xml:space="preserve">U0718</t>
  </si>
  <si>
    <t xml:space="preserve">U0688</t>
  </si>
  <si>
    <t xml:space="preserve">coffee table</t>
  </si>
  <si>
    <t xml:space="preserve">U0710</t>
  </si>
  <si>
    <t xml:space="preserve">couch</t>
  </si>
  <si>
    <t xml:space="preserve">U0928</t>
  </si>
  <si>
    <t xml:space="preserve">couches</t>
  </si>
  <si>
    <t xml:space="preserve">U0630</t>
  </si>
  <si>
    <t xml:space="preserve">fireplace</t>
  </si>
  <si>
    <t xml:space="preserve">U0972</t>
  </si>
  <si>
    <t xml:space="preserve">furniture</t>
  </si>
  <si>
    <t xml:space="preserve">U0451</t>
  </si>
  <si>
    <t xml:space="preserve">lamp</t>
  </si>
  <si>
    <t xml:space="preserve">U0242</t>
  </si>
  <si>
    <t xml:space="preserve">living room</t>
  </si>
  <si>
    <t xml:space="preserve">U0077</t>
  </si>
  <si>
    <t xml:space="preserve">U0328</t>
  </si>
  <si>
    <t xml:space="preserve">ottoman</t>
  </si>
  <si>
    <t xml:space="preserve">U0074</t>
  </si>
  <si>
    <t xml:space="preserve">U0469</t>
  </si>
  <si>
    <t xml:space="preserve">recliner</t>
  </si>
  <si>
    <t xml:space="preserve">U0456</t>
  </si>
  <si>
    <t xml:space="preserve">U0003</t>
  </si>
  <si>
    <t xml:space="preserve">U0211</t>
  </si>
  <si>
    <t xml:space="preserve">television</t>
  </si>
  <si>
    <t xml:space="preserve">U0505</t>
  </si>
  <si>
    <t xml:space="preserve">television set</t>
  </si>
  <si>
    <t xml:space="preserve">U0272</t>
  </si>
  <si>
    <t xml:space="preserve">tv</t>
  </si>
  <si>
    <t xml:space="preserve">U0635</t>
  </si>
  <si>
    <t xml:space="preserve">U0190</t>
  </si>
  <si>
    <t xml:space="preserve">U0736</t>
  </si>
  <si>
    <t xml:space="preserve">U0960</t>
  </si>
  <si>
    <t xml:space="preserve">U0942</t>
  </si>
  <si>
    <t xml:space="preserve">U0320</t>
  </si>
  <si>
    <t xml:space="preserve">U0111</t>
  </si>
  <si>
    <t xml:space="preserve">U0590</t>
  </si>
  <si>
    <t xml:space="preserve">U0188</t>
  </si>
  <si>
    <t xml:space="preserve">U0400</t>
  </si>
  <si>
    <t xml:space="preserve">lettuce</t>
  </si>
  <si>
    <t xml:space="preserve">U0803</t>
  </si>
  <si>
    <t xml:space="preserve">U0396</t>
  </si>
  <si>
    <t xml:space="preserve">U0659</t>
  </si>
  <si>
    <t xml:space="preserve">U0511</t>
  </si>
  <si>
    <t xml:space="preserve">pizza</t>
  </si>
  <si>
    <t xml:space="preserve">U0248</t>
  </si>
  <si>
    <t xml:space="preserve">U0982</t>
  </si>
  <si>
    <t xml:space="preserve">plate topped</t>
  </si>
  <si>
    <t xml:space="preserve">U0374</t>
  </si>
  <si>
    <t xml:space="preserve">U0144</t>
  </si>
  <si>
    <t xml:space="preserve">U0916</t>
  </si>
  <si>
    <t xml:space="preserve">U0478</t>
  </si>
  <si>
    <t xml:space="preserve">tomato</t>
  </si>
  <si>
    <t xml:space="preserve">U0489</t>
  </si>
  <si>
    <t xml:space="preserve">U0230</t>
  </si>
  <si>
    <t xml:space="preserve">U0012</t>
  </si>
  <si>
    <t xml:space="preserve">beds</t>
  </si>
  <si>
    <t xml:space="preserve">U0553</t>
  </si>
  <si>
    <t xml:space="preserve">U0298</t>
  </si>
  <si>
    <t xml:space="preserve">U0064</t>
  </si>
  <si>
    <t xml:space="preserve">U0140</t>
  </si>
  <si>
    <t xml:space="preserve">U0712</t>
  </si>
  <si>
    <t xml:space="preserve">dorm room</t>
  </si>
  <si>
    <t xml:space="preserve">U0073</t>
  </si>
  <si>
    <t xml:space="preserve">fan</t>
  </si>
  <si>
    <t xml:space="preserve">U0285</t>
  </si>
  <si>
    <t xml:space="preserve">man</t>
  </si>
  <si>
    <t xml:space="preserve">U0777</t>
  </si>
  <si>
    <t xml:space="preserve">mattress</t>
  </si>
  <si>
    <t xml:space="preserve">U0450</t>
  </si>
  <si>
    <t xml:space="preserve">U0835</t>
  </si>
  <si>
    <t xml:space="preserve">U0504</t>
  </si>
  <si>
    <t xml:space="preserve">pillow</t>
  </si>
  <si>
    <t xml:space="preserve">U0742</t>
  </si>
  <si>
    <t xml:space="preserve">U0834</t>
  </si>
  <si>
    <t xml:space="preserve">U0734</t>
  </si>
  <si>
    <t xml:space="preserve">shirt</t>
  </si>
  <si>
    <t xml:space="preserve">U0532</t>
  </si>
  <si>
    <t xml:space="preserve">shorts</t>
  </si>
  <si>
    <t xml:space="preserve">U0642</t>
  </si>
  <si>
    <t xml:space="preserve">U0750</t>
  </si>
  <si>
    <t xml:space="preserve">U0879</t>
  </si>
  <si>
    <t xml:space="preserve">sunglasses</t>
  </si>
  <si>
    <t xml:space="preserve">U0720</t>
  </si>
  <si>
    <t xml:space="preserve">U0232</t>
  </si>
  <si>
    <t xml:space="preserve">U0958</t>
  </si>
  <si>
    <t xml:space="preserve">U0273</t>
  </si>
  <si>
    <t xml:space="preserve">U0515</t>
  </si>
  <si>
    <t xml:space="preserve">cabinets</t>
  </si>
  <si>
    <t xml:space="preserve">U0717</t>
  </si>
  <si>
    <t xml:space="preserve">U0323</t>
  </si>
  <si>
    <t xml:space="preserve">U0215</t>
  </si>
  <si>
    <t xml:space="preserve">counter tops</t>
  </si>
  <si>
    <t xml:space="preserve">U0957</t>
  </si>
  <si>
    <t xml:space="preserve">U0068</t>
  </si>
  <si>
    <t xml:space="preserve">U0801</t>
  </si>
  <si>
    <t xml:space="preserve">U0404</t>
  </si>
  <si>
    <t xml:space="preserve">U0804</t>
  </si>
  <si>
    <t xml:space="preserve">U0026</t>
  </si>
  <si>
    <t xml:space="preserve">long narrow kitchen</t>
  </si>
  <si>
    <t xml:space="preserve">U0966</t>
  </si>
  <si>
    <t xml:space="preserve">microwave</t>
  </si>
  <si>
    <t xml:space="preserve">U0348</t>
  </si>
  <si>
    <t xml:space="preserve">U0335</t>
  </si>
  <si>
    <t xml:space="preserve">U0604</t>
  </si>
  <si>
    <t xml:space="preserve">U0664</t>
  </si>
  <si>
    <t xml:space="preserve">U0472</t>
  </si>
  <si>
    <t xml:space="preserve">U0428</t>
  </si>
  <si>
    <t xml:space="preserve">U0663</t>
  </si>
  <si>
    <t xml:space="preserve">U0973</t>
  </si>
  <si>
    <t xml:space="preserve">U0747</t>
  </si>
  <si>
    <t xml:space="preserve">window</t>
  </si>
  <si>
    <t xml:space="preserve">U0816</t>
  </si>
  <si>
    <t xml:space="preserve">U0858</t>
  </si>
  <si>
    <t xml:space="preserve">U0715</t>
  </si>
  <si>
    <t xml:space="preserve">bedroom</t>
  </si>
  <si>
    <t xml:space="preserve">U0460</t>
  </si>
  <si>
    <t xml:space="preserve">U0677</t>
  </si>
  <si>
    <t xml:space="preserve">U0118</t>
  </si>
  <si>
    <t xml:space="preserve">U0420</t>
  </si>
  <si>
    <t xml:space="preserve">U0649</t>
  </si>
  <si>
    <t xml:space="preserve">U0523</t>
  </si>
  <si>
    <t xml:space="preserve">flower arrangement</t>
  </si>
  <si>
    <t xml:space="preserve">U0700</t>
  </si>
  <si>
    <t xml:space="preserve">U0090</t>
  </si>
  <si>
    <t xml:space="preserve">U0572</t>
  </si>
  <si>
    <t xml:space="preserve">painting</t>
  </si>
  <si>
    <t xml:space="preserve">U0868</t>
  </si>
  <si>
    <t xml:space="preserve">U0000</t>
  </si>
  <si>
    <t xml:space="preserve">U0050</t>
  </si>
  <si>
    <t xml:space="preserve">U0196</t>
  </si>
  <si>
    <t xml:space="preserve">rug</t>
  </si>
  <si>
    <t xml:space="preserve">U0906</t>
  </si>
  <si>
    <t xml:space="preserve">U0402</t>
  </si>
  <si>
    <t xml:space="preserve">U0271</t>
  </si>
  <si>
    <t xml:space="preserve">U0586</t>
  </si>
  <si>
    <t xml:space="preserve">table lamp</t>
  </si>
  <si>
    <t xml:space="preserve">U1030</t>
  </si>
  <si>
    <t xml:space="preserve">wall</t>
  </si>
  <si>
    <t xml:space="preserve">U0933</t>
  </si>
  <si>
    <t xml:space="preserve">apple</t>
  </si>
  <si>
    <t xml:space="preserve">U0252</t>
  </si>
  <si>
    <t xml:space="preserve">U0975</t>
  </si>
  <si>
    <t xml:space="preserve">U0060</t>
  </si>
  <si>
    <t xml:space="preserve">U0117</t>
  </si>
  <si>
    <t xml:space="preserve">U0143</t>
  </si>
  <si>
    <t xml:space="preserve">U0150</t>
  </si>
  <si>
    <t xml:space="preserve">U0466</t>
  </si>
  <si>
    <t xml:space="preserve">child</t>
  </si>
  <si>
    <t xml:space="preserve">U0122</t>
  </si>
  <si>
    <t xml:space="preserve">cookie</t>
  </si>
  <si>
    <t xml:space="preserve">U0986</t>
  </si>
  <si>
    <t xml:space="preserve">U0082</t>
  </si>
  <si>
    <t xml:space="preserve">U0520</t>
  </si>
  <si>
    <t xml:space="preserve">little girl</t>
  </si>
  <si>
    <t xml:space="preserve">U0567</t>
  </si>
  <si>
    <t xml:space="preserve">U0168</t>
  </si>
  <si>
    <t xml:space="preserve">orange</t>
  </si>
  <si>
    <t xml:space="preserve">U1034</t>
  </si>
  <si>
    <t xml:space="preserve">U0930</t>
  </si>
  <si>
    <t xml:space="preserve">remote control</t>
  </si>
  <si>
    <t xml:space="preserve">U0822</t>
  </si>
  <si>
    <t xml:space="preserve">U0399</t>
  </si>
  <si>
    <t xml:space="preserve">U0727</t>
  </si>
  <si>
    <t xml:space="preserve">U0080</t>
  </si>
  <si>
    <t xml:space="preserve">U0290</t>
  </si>
  <si>
    <t xml:space="preserve">U0044</t>
  </si>
  <si>
    <t xml:space="preserve">U0350</t>
  </si>
  <si>
    <t xml:space="preserve">U0707</t>
  </si>
  <si>
    <t xml:space="preserve">book shelf</t>
  </si>
  <si>
    <t xml:space="preserve">U0274</t>
  </si>
  <si>
    <t xml:space="preserve">books</t>
  </si>
  <si>
    <t xml:space="preserve">U0281</t>
  </si>
  <si>
    <t xml:space="preserve">U0202</t>
  </si>
  <si>
    <t xml:space="preserve">U0706</t>
  </si>
  <si>
    <t xml:space="preserve">U1026</t>
  </si>
  <si>
    <t xml:space="preserve">U0257</t>
  </si>
  <si>
    <t xml:space="preserve">U0166</t>
  </si>
  <si>
    <t xml:space="preserve">U0961</t>
  </si>
  <si>
    <t xml:space="preserve">orange walls</t>
  </si>
  <si>
    <t xml:space="preserve">U0741</t>
  </si>
  <si>
    <t xml:space="preserve">U1006</t>
  </si>
  <si>
    <t xml:space="preserve">U0900</t>
  </si>
  <si>
    <t xml:space="preserve">U0221</t>
  </si>
  <si>
    <t xml:space="preserve">shelf</t>
  </si>
  <si>
    <t xml:space="preserve">U0695</t>
  </si>
  <si>
    <t xml:space="preserve">U0105</t>
  </si>
  <si>
    <t xml:space="preserve">U0623</t>
  </si>
  <si>
    <t xml:space="preserve">speaker</t>
  </si>
  <si>
    <t xml:space="preserve">U0083</t>
  </si>
  <si>
    <t xml:space="preserve">U0165</t>
  </si>
  <si>
    <t xml:space="preserve">U0656</t>
  </si>
  <si>
    <t xml:space="preserve">U0577</t>
  </si>
  <si>
    <t xml:space="preserve">U0881</t>
  </si>
  <si>
    <t xml:space="preserve">U0018</t>
  </si>
  <si>
    <t xml:space="preserve">U0216</t>
  </si>
  <si>
    <t xml:space="preserve">U0780</t>
  </si>
  <si>
    <t xml:space="preserve">U0007</t>
  </si>
  <si>
    <t xml:space="preserve">U0990</t>
  </si>
  <si>
    <t xml:space="preserve">U0594</t>
  </si>
  <si>
    <t xml:space="preserve">desk</t>
  </si>
  <si>
    <t xml:space="preserve">U0091</t>
  </si>
  <si>
    <t xml:space="preserve">U0915</t>
  </si>
  <si>
    <t xml:space="preserve">U0983</t>
  </si>
  <si>
    <t xml:space="preserve">U0823</t>
  </si>
  <si>
    <t xml:space="preserve">U0608</t>
  </si>
  <si>
    <t xml:space="preserve">U0153</t>
  </si>
  <si>
    <t xml:space="preserve">room</t>
  </si>
  <si>
    <t xml:space="preserve">U0905</t>
  </si>
  <si>
    <t xml:space="preserve">U0454</t>
  </si>
  <si>
    <t xml:space="preserve">U0349</t>
  </si>
  <si>
    <t xml:space="preserve">water bottle</t>
  </si>
  <si>
    <t xml:space="preserve">U0240</t>
  </si>
  <si>
    <t xml:space="preserve">U0878</t>
  </si>
  <si>
    <t xml:space="preserve">U0680</t>
  </si>
  <si>
    <t xml:space="preserve">U0951</t>
  </si>
  <si>
    <t xml:space="preserve">U0585</t>
  </si>
  <si>
    <t xml:space="preserve">U0161</t>
  </si>
  <si>
    <t xml:space="preserve">U0685</t>
  </si>
  <si>
    <t xml:space="preserve">U0383</t>
  </si>
  <si>
    <t xml:space="preserve">U0316</t>
  </si>
  <si>
    <t xml:space="preserve">U0952</t>
  </si>
  <si>
    <t xml:space="preserve">U0954</t>
  </si>
  <si>
    <t xml:space="preserve">U0662</t>
  </si>
  <si>
    <t xml:space="preserve">U0206</t>
  </si>
  <si>
    <t xml:space="preserve">U0904</t>
  </si>
  <si>
    <t xml:space="preserve">U0421</t>
  </si>
  <si>
    <t xml:space="preserve">soap</t>
  </si>
  <si>
    <t xml:space="preserve">U0013</t>
  </si>
  <si>
    <t xml:space="preserve">U0599</t>
  </si>
  <si>
    <t xml:space="preserve">U0543</t>
  </si>
  <si>
    <t xml:space="preserve">U0808</t>
  </si>
  <si>
    <t xml:space="preserve">U0334</t>
  </si>
  <si>
    <t xml:space="preserve">U0519</t>
  </si>
  <si>
    <t xml:space="preserve">Progress (updates as you rate)</t>
  </si>
  <si>
    <t xml:space="preserve">Items to rate</t>
  </si>
  <si>
    <t xml:space="preserve">Column D filled</t>
  </si>
  <si>
    <t xml:space="preserve">Column D answered Y</t>
  </si>
  <si>
    <t xml:space="preserve">Column E filled (where D = Y)</t>
  </si>
  <si>
    <t xml:space="preserve">Rows finished</t>
  </si>
  <si>
    <t xml:space="preserve">Percent complete</t>
  </si>
  <si>
    <t xml:space="preserve">Problems to fix (should all be 0)</t>
  </si>
  <si>
    <t xml:space="preserve">D empty</t>
  </si>
  <si>
    <t xml:space="preserve">D = Y but E empty</t>
  </si>
  <si>
    <t xml:space="preserve">D = N but E filled (clear E)</t>
  </si>
  <si>
    <t xml:space="preserve">Rows in fully-rated scenes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</si>
</sst>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u val="single"/>
      <sz val="11"/>
      <color rgb="FF0563C1"/>
      <name val="Arial"/>
      <family val="0"/>
      <charset val="1"/>
    </font>
    <font>
      <sz val="11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EF3FA"/>
      </patternFill>
    </fill>
    <fill>
      <patternFill patternType="solid">
        <fgColor rgb="FFEEF3FA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medium">
        <color rgb="FF1F386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EF3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>
          <bgColor rgb="FFF4B6B6"/>
        </patternFill>
      </fill>
    </dxf>
    <dxf>
      <fill>
        <patternFill>
          <bgColor rgb="FFD9D9D9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EF3FA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4B6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images.cocodataset.org/train2017/000000033909.jpg" TargetMode="External"/><Relationship Id="rId2" Type="http://schemas.openxmlformats.org/officeDocument/2006/relationships/hyperlink" Target="http://images.cocodataset.org/train2017/000000098085.jpg" TargetMode="External"/><Relationship Id="rId3" Type="http://schemas.openxmlformats.org/officeDocument/2006/relationships/hyperlink" Target="http://images.cocodataset.org/train2017/000000102841.jpg" TargetMode="External"/><Relationship Id="rId4" Type="http://schemas.openxmlformats.org/officeDocument/2006/relationships/hyperlink" Target="http://images.cocodataset.org/val2017/000000129322.jpg" TargetMode="External"/><Relationship Id="rId5" Type="http://schemas.openxmlformats.org/officeDocument/2006/relationships/hyperlink" Target="http://images.cocodataset.org/train2017/000000163589.jpg" TargetMode="External"/><Relationship Id="rId6" Type="http://schemas.openxmlformats.org/officeDocument/2006/relationships/hyperlink" Target="http://images.cocodataset.org/val2017/000000175364.jpg" TargetMode="External"/><Relationship Id="rId7" Type="http://schemas.openxmlformats.org/officeDocument/2006/relationships/hyperlink" Target="http://images.cocodataset.org/val2017/000000195754.jpg" TargetMode="External"/><Relationship Id="rId8" Type="http://schemas.openxmlformats.org/officeDocument/2006/relationships/hyperlink" Target="http://images.cocodataset.org/val2017/000000227985.jpg" TargetMode="External"/><Relationship Id="rId9" Type="http://schemas.openxmlformats.org/officeDocument/2006/relationships/hyperlink" Target="http://images.cocodataset.org/train2017/000000242610.jpg" TargetMode="External"/><Relationship Id="rId10" Type="http://schemas.openxmlformats.org/officeDocument/2006/relationships/hyperlink" Target="http://images.cocodataset.org/train2017/000000264347.jpg" TargetMode="External"/><Relationship Id="rId11" Type="http://schemas.openxmlformats.org/officeDocument/2006/relationships/hyperlink" Target="http://images.cocodataset.org/train2017/000000315256.jpg" TargetMode="External"/><Relationship Id="rId12" Type="http://schemas.openxmlformats.org/officeDocument/2006/relationships/hyperlink" Target="http://images.cocodataset.org/train2017/000000381330.jpg" TargetMode="External"/><Relationship Id="rId13" Type="http://schemas.openxmlformats.org/officeDocument/2006/relationships/hyperlink" Target="http://images.cocodataset.org/val2017/000000395701.jpg" TargetMode="External"/><Relationship Id="rId14" Type="http://schemas.openxmlformats.org/officeDocument/2006/relationships/hyperlink" Target="http://images.cocodataset.org/train2017/000000480712.jpg" TargetMode="External"/><Relationship Id="rId15" Type="http://schemas.openxmlformats.org/officeDocument/2006/relationships/hyperlink" Target="http://images.cocodataset.org/train2017/000000492719.jpg" TargetMode="External"/><Relationship Id="rId16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6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true" outlineLevel="0" collapsed="false">
      <c r="A2" s="2"/>
      <c r="B2" s="2"/>
      <c r="C2" s="2"/>
      <c r="D2" s="2"/>
    </row>
    <row r="3" customFormat="false" ht="15" hidden="false" customHeight="true" outlineLevel="0" collapsed="false">
      <c r="A3" s="3" t="s">
        <v>1</v>
      </c>
      <c r="B3" s="3"/>
      <c r="C3" s="3"/>
      <c r="D3" s="3"/>
    </row>
    <row r="4" customFormat="false" ht="30" hidden="false" customHeight="true" outlineLevel="0" collapsed="false">
      <c r="A4" s="2" t="s">
        <v>2</v>
      </c>
      <c r="B4" s="2"/>
      <c r="C4" s="2"/>
      <c r="D4" s="2"/>
    </row>
    <row r="5" customFormat="false" ht="15" hidden="false" customHeight="true" outlineLevel="0" collapsed="false">
      <c r="A5" s="2"/>
      <c r="B5" s="2"/>
      <c r="C5" s="2"/>
      <c r="D5" s="2"/>
    </row>
    <row r="6" customFormat="false" ht="15" hidden="false" customHeight="true" outlineLevel="0" collapsed="false">
      <c r="A6" s="3" t="s">
        <v>3</v>
      </c>
      <c r="B6" s="3"/>
      <c r="C6" s="3"/>
      <c r="D6" s="3"/>
    </row>
    <row r="7" customFormat="false" ht="30" hidden="false" customHeight="true" outlineLevel="0" collapsed="false">
      <c r="A7" s="2" t="s">
        <v>4</v>
      </c>
      <c r="B7" s="2"/>
      <c r="C7" s="2"/>
      <c r="D7" s="2"/>
    </row>
    <row r="8" customFormat="false" ht="30" hidden="false" customHeight="true" outlineLevel="0" collapsed="false">
      <c r="A8" s="2" t="s">
        <v>5</v>
      </c>
      <c r="B8" s="2"/>
      <c r="C8" s="2"/>
      <c r="D8" s="2"/>
    </row>
    <row r="9" customFormat="false" ht="15" hidden="false" customHeight="true" outlineLevel="0" collapsed="false">
      <c r="A9" s="2" t="s">
        <v>6</v>
      </c>
      <c r="B9" s="2"/>
      <c r="C9" s="2"/>
      <c r="D9" s="2"/>
    </row>
    <row r="10" customFormat="false" ht="15" hidden="false" customHeight="true" outlineLevel="0" collapsed="false">
      <c r="A10" s="2" t="s">
        <v>7</v>
      </c>
      <c r="B10" s="2"/>
      <c r="C10" s="2"/>
      <c r="D10" s="2"/>
    </row>
    <row r="11" customFormat="false" ht="15" hidden="false" customHeight="true" outlineLevel="0" collapsed="false">
      <c r="A11" s="2" t="s">
        <v>8</v>
      </c>
      <c r="B11" s="2"/>
      <c r="C11" s="2"/>
      <c r="D11" s="2"/>
    </row>
    <row r="12" customFormat="false" ht="30" hidden="false" customHeight="true" outlineLevel="0" collapsed="false">
      <c r="A12" s="2" t="s">
        <v>9</v>
      </c>
      <c r="B12" s="2"/>
      <c r="C12" s="2"/>
      <c r="D12" s="2"/>
    </row>
    <row r="13" customFormat="false" ht="30" hidden="false" customHeight="true" outlineLevel="0" collapsed="false">
      <c r="A13" s="2" t="s">
        <v>10</v>
      </c>
      <c r="B13" s="2"/>
      <c r="C13" s="2"/>
      <c r="D13" s="2"/>
    </row>
    <row r="14" customFormat="false" ht="15" hidden="false" customHeight="true" outlineLevel="0" collapsed="false">
      <c r="A14" s="2"/>
      <c r="B14" s="2"/>
      <c r="C14" s="2"/>
      <c r="D14" s="2"/>
    </row>
    <row r="15" customFormat="false" ht="15" hidden="false" customHeight="true" outlineLevel="0" collapsed="false">
      <c r="A15" s="3" t="s">
        <v>11</v>
      </c>
      <c r="B15" s="3"/>
      <c r="C15" s="3"/>
      <c r="D15" s="3"/>
    </row>
    <row r="16" customFormat="false" ht="15" hidden="false" customHeight="true" outlineLevel="0" collapsed="false">
      <c r="A16" s="2" t="s">
        <v>12</v>
      </c>
      <c r="B16" s="2"/>
      <c r="C16" s="2"/>
      <c r="D16" s="2"/>
    </row>
    <row r="17" customFormat="false" ht="30" hidden="false" customHeight="true" outlineLevel="0" collapsed="false">
      <c r="A17" s="2" t="s">
        <v>13</v>
      </c>
      <c r="B17" s="2"/>
      <c r="C17" s="2"/>
      <c r="D17" s="2"/>
    </row>
    <row r="18" customFormat="false" ht="30" hidden="false" customHeight="true" outlineLevel="0" collapsed="false">
      <c r="A18" s="2" t="s">
        <v>14</v>
      </c>
      <c r="B18" s="2"/>
      <c r="C18" s="2"/>
      <c r="D18" s="2"/>
    </row>
    <row r="19" customFormat="false" ht="30" hidden="false" customHeight="true" outlineLevel="0" collapsed="false">
      <c r="A19" s="2" t="s">
        <v>15</v>
      </c>
      <c r="B19" s="2"/>
      <c r="C19" s="2"/>
      <c r="D19" s="2"/>
    </row>
    <row r="20" customFormat="false" ht="15" hidden="false" customHeight="true" outlineLevel="0" collapsed="false">
      <c r="A20" s="2"/>
      <c r="B20" s="2"/>
      <c r="C20" s="2"/>
      <c r="D20" s="2"/>
    </row>
    <row r="21" customFormat="false" ht="30" hidden="false" customHeight="true" outlineLevel="0" collapsed="false">
      <c r="A21" s="3" t="s">
        <v>16</v>
      </c>
      <c r="B21" s="3"/>
      <c r="C21" s="3"/>
      <c r="D21" s="3"/>
    </row>
    <row r="22" customFormat="false" ht="30" hidden="false" customHeight="true" outlineLevel="0" collapsed="false">
      <c r="A22" s="2" t="s">
        <v>17</v>
      </c>
      <c r="B22" s="2"/>
      <c r="C22" s="2"/>
      <c r="D22" s="2"/>
    </row>
    <row r="23" customFormat="false" ht="30" hidden="false" customHeight="true" outlineLevel="0" collapsed="false">
      <c r="A23" s="2" t="s">
        <v>18</v>
      </c>
      <c r="B23" s="2"/>
      <c r="C23" s="2"/>
      <c r="D23" s="2"/>
    </row>
    <row r="24" customFormat="false" ht="30" hidden="false" customHeight="true" outlineLevel="0" collapsed="false">
      <c r="A24" s="2" t="s">
        <v>19</v>
      </c>
      <c r="B24" s="2"/>
      <c r="C24" s="2"/>
      <c r="D24" s="2"/>
    </row>
    <row r="25" customFormat="false" ht="15" hidden="false" customHeight="true" outlineLevel="0" collapsed="false">
      <c r="A25" s="2" t="s">
        <v>20</v>
      </c>
      <c r="B25" s="2"/>
      <c r="C25" s="2"/>
      <c r="D25" s="2"/>
    </row>
    <row r="26" customFormat="false" ht="15" hidden="false" customHeight="true" outlineLevel="0" collapsed="false">
      <c r="A26" s="2"/>
      <c r="B26" s="2"/>
      <c r="C26" s="2"/>
      <c r="D26" s="2"/>
    </row>
    <row r="27" customFormat="false" ht="15" hidden="false" customHeight="true" outlineLevel="0" collapsed="false">
      <c r="A27" s="3" t="s">
        <v>21</v>
      </c>
      <c r="B27" s="3"/>
      <c r="C27" s="3"/>
      <c r="D27" s="3"/>
    </row>
    <row r="28" customFormat="false" ht="15" hidden="false" customHeight="false" outlineLevel="0" collapsed="false">
      <c r="A28" s="4" t="s">
        <v>22</v>
      </c>
      <c r="B28" s="4" t="s">
        <v>23</v>
      </c>
      <c r="C28" s="4" t="s">
        <v>24</v>
      </c>
      <c r="D28" s="4" t="s">
        <v>25</v>
      </c>
    </row>
    <row r="29" customFormat="false" ht="15" hidden="false" customHeight="false" outlineLevel="0" collapsed="false">
      <c r="A29" s="5" t="s">
        <v>26</v>
      </c>
      <c r="B29" s="5" t="s">
        <v>27</v>
      </c>
      <c r="C29" s="5" t="s">
        <v>27</v>
      </c>
      <c r="D29" s="5" t="s">
        <v>28</v>
      </c>
    </row>
    <row r="30" customFormat="false" ht="15" hidden="false" customHeight="false" outlineLevel="0" collapsed="false">
      <c r="A30" s="5" t="s">
        <v>29</v>
      </c>
      <c r="B30" s="5" t="s">
        <v>27</v>
      </c>
      <c r="C30" s="5" t="s">
        <v>27</v>
      </c>
      <c r="D30" s="5" t="s">
        <v>30</v>
      </c>
    </row>
    <row r="31" customFormat="false" ht="15" hidden="false" customHeight="false" outlineLevel="0" collapsed="false">
      <c r="A31" s="5" t="s">
        <v>31</v>
      </c>
      <c r="B31" s="5" t="s">
        <v>27</v>
      </c>
      <c r="C31" s="5" t="s">
        <v>32</v>
      </c>
      <c r="D31" s="5" t="s">
        <v>33</v>
      </c>
    </row>
    <row r="32" customFormat="false" ht="15" hidden="false" customHeight="false" outlineLevel="0" collapsed="false">
      <c r="A32" s="5" t="s">
        <v>34</v>
      </c>
      <c r="B32" s="5" t="s">
        <v>32</v>
      </c>
      <c r="C32" s="5"/>
      <c r="D32" s="5" t="s">
        <v>35</v>
      </c>
    </row>
    <row r="33" customFormat="false" ht="15" hidden="false" customHeight="false" outlineLevel="0" collapsed="false">
      <c r="A33" s="5" t="s">
        <v>36</v>
      </c>
      <c r="B33" s="5" t="s">
        <v>32</v>
      </c>
      <c r="C33" s="5"/>
      <c r="D33" s="5" t="s">
        <v>37</v>
      </c>
    </row>
    <row r="35" customFormat="false" ht="15" hidden="false" customHeight="false" outlineLevel="0" collapsed="false">
      <c r="A35" s="6" t="s">
        <v>38</v>
      </c>
      <c r="B35" s="6"/>
      <c r="C35" s="6"/>
      <c r="D35" s="6"/>
    </row>
  </sheetData>
  <mergeCells count="28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26"/>
    <col collapsed="false" customWidth="true" hidden="false" outlineLevel="0" max="6" min="6" style="0" width="34"/>
    <col collapsed="false" customWidth="true" hidden="false" outlineLevel="0" max="8" min="7" style="0" width="10"/>
  </cols>
  <sheetData>
    <row r="1" customFormat="false" ht="45" hidden="false" customHeight="true" outlineLevel="0" collapsed="false">
      <c r="A1" s="7" t="s">
        <v>39</v>
      </c>
      <c r="B1" s="7" t="s">
        <v>40</v>
      </c>
      <c r="C1" s="7" t="s">
        <v>41</v>
      </c>
      <c r="D1" s="7" t="s">
        <v>42</v>
      </c>
      <c r="E1" s="7" t="s">
        <v>43</v>
      </c>
      <c r="F1" s="7" t="s">
        <v>44</v>
      </c>
      <c r="G1" s="7" t="s">
        <v>45</v>
      </c>
      <c r="H1" s="7" t="s">
        <v>46</v>
      </c>
    </row>
    <row r="2" customFormat="false" ht="15" hidden="false" customHeight="false" outlineLevel="0" collapsed="false">
      <c r="A2" s="8" t="n">
        <v>1</v>
      </c>
      <c r="B2" s="9" t="s">
        <v>47</v>
      </c>
      <c r="C2" s="8" t="s">
        <v>48</v>
      </c>
      <c r="D2" s="10"/>
      <c r="E2" s="10"/>
      <c r="F2" s="8"/>
      <c r="G2" s="11" t="s">
        <v>49</v>
      </c>
      <c r="H2" s="11" t="n">
        <v>33909</v>
      </c>
    </row>
    <row r="3" customFormat="false" ht="15" hidden="false" customHeight="false" outlineLevel="0" collapsed="false">
      <c r="A3" s="12" t="n">
        <v>1</v>
      </c>
      <c r="C3" s="12" t="s">
        <v>50</v>
      </c>
      <c r="D3" s="13"/>
      <c r="E3" s="13"/>
      <c r="F3" s="12"/>
      <c r="G3" s="14" t="s">
        <v>51</v>
      </c>
      <c r="H3" s="14" t="n">
        <v>33909</v>
      </c>
    </row>
    <row r="4" customFormat="false" ht="15" hidden="false" customHeight="false" outlineLevel="0" collapsed="false">
      <c r="A4" s="12" t="n">
        <v>1</v>
      </c>
      <c r="C4" s="12" t="s">
        <v>34</v>
      </c>
      <c r="D4" s="13"/>
      <c r="E4" s="13"/>
      <c r="F4" s="12"/>
      <c r="G4" s="14" t="s">
        <v>52</v>
      </c>
      <c r="H4" s="14" t="n">
        <v>33909</v>
      </c>
    </row>
    <row r="5" customFormat="false" ht="15" hidden="false" customHeight="false" outlineLevel="0" collapsed="false">
      <c r="A5" s="12" t="n">
        <v>1</v>
      </c>
      <c r="C5" s="12" t="s">
        <v>53</v>
      </c>
      <c r="D5" s="13"/>
      <c r="E5" s="13"/>
      <c r="F5" s="12"/>
      <c r="G5" s="14" t="s">
        <v>54</v>
      </c>
      <c r="H5" s="14" t="n">
        <v>33909</v>
      </c>
    </row>
    <row r="6" customFormat="false" ht="15" hidden="false" customHeight="false" outlineLevel="0" collapsed="false">
      <c r="A6" s="12" t="n">
        <v>1</v>
      </c>
      <c r="C6" s="12" t="s">
        <v>55</v>
      </c>
      <c r="D6" s="13"/>
      <c r="E6" s="13"/>
      <c r="F6" s="12"/>
      <c r="G6" s="14" t="s">
        <v>56</v>
      </c>
      <c r="H6" s="14" t="n">
        <v>33909</v>
      </c>
    </row>
    <row r="7" customFormat="false" ht="15" hidden="false" customHeight="false" outlineLevel="0" collapsed="false">
      <c r="A7" s="12" t="n">
        <v>1</v>
      </c>
      <c r="C7" s="12" t="s">
        <v>57</v>
      </c>
      <c r="D7" s="13"/>
      <c r="E7" s="13"/>
      <c r="F7" s="12"/>
      <c r="G7" s="14" t="s">
        <v>58</v>
      </c>
      <c r="H7" s="14" t="n">
        <v>33909</v>
      </c>
    </row>
    <row r="8" customFormat="false" ht="15" hidden="false" customHeight="false" outlineLevel="0" collapsed="false">
      <c r="A8" s="12" t="n">
        <v>1</v>
      </c>
      <c r="C8" s="12" t="s">
        <v>59</v>
      </c>
      <c r="D8" s="13"/>
      <c r="E8" s="13"/>
      <c r="F8" s="12"/>
      <c r="G8" s="14" t="s">
        <v>60</v>
      </c>
      <c r="H8" s="14" t="n">
        <v>33909</v>
      </c>
    </row>
    <row r="9" customFormat="false" ht="15" hidden="false" customHeight="false" outlineLevel="0" collapsed="false">
      <c r="A9" s="12" t="n">
        <v>1</v>
      </c>
      <c r="C9" s="12" t="s">
        <v>61</v>
      </c>
      <c r="D9" s="13"/>
      <c r="E9" s="13"/>
      <c r="F9" s="12"/>
      <c r="G9" s="14" t="s">
        <v>62</v>
      </c>
      <c r="H9" s="14" t="n">
        <v>33909</v>
      </c>
    </row>
    <row r="10" customFormat="false" ht="15" hidden="false" customHeight="false" outlineLevel="0" collapsed="false">
      <c r="A10" s="12" t="n">
        <v>1</v>
      </c>
      <c r="C10" s="12" t="s">
        <v>36</v>
      </c>
      <c r="D10" s="13"/>
      <c r="E10" s="13"/>
      <c r="F10" s="12"/>
      <c r="G10" s="14" t="s">
        <v>63</v>
      </c>
      <c r="H10" s="14" t="n">
        <v>33909</v>
      </c>
    </row>
    <row r="11" customFormat="false" ht="15" hidden="false" customHeight="false" outlineLevel="0" collapsed="false">
      <c r="A11" s="12" t="n">
        <v>1</v>
      </c>
      <c r="C11" s="12" t="s">
        <v>64</v>
      </c>
      <c r="D11" s="13"/>
      <c r="E11" s="13"/>
      <c r="F11" s="12"/>
      <c r="G11" s="14" t="s">
        <v>65</v>
      </c>
      <c r="H11" s="14" t="n">
        <v>33909</v>
      </c>
    </row>
    <row r="12" customFormat="false" ht="15" hidden="false" customHeight="false" outlineLevel="0" collapsed="false">
      <c r="A12" s="12" t="n">
        <v>1</v>
      </c>
      <c r="C12" s="12" t="s">
        <v>66</v>
      </c>
      <c r="D12" s="13"/>
      <c r="E12" s="13"/>
      <c r="F12" s="12"/>
      <c r="G12" s="14" t="s">
        <v>67</v>
      </c>
      <c r="H12" s="14" t="n">
        <v>33909</v>
      </c>
    </row>
    <row r="13" customFormat="false" ht="15" hidden="false" customHeight="false" outlineLevel="0" collapsed="false">
      <c r="A13" s="12" t="n">
        <v>1</v>
      </c>
      <c r="C13" s="12" t="s">
        <v>68</v>
      </c>
      <c r="D13" s="13"/>
      <c r="E13" s="13"/>
      <c r="F13" s="12"/>
      <c r="G13" s="14" t="s">
        <v>69</v>
      </c>
      <c r="H13" s="14" t="n">
        <v>33909</v>
      </c>
    </row>
    <row r="14" customFormat="false" ht="15" hidden="false" customHeight="false" outlineLevel="0" collapsed="false">
      <c r="A14" s="12" t="n">
        <v>1</v>
      </c>
      <c r="C14" s="12" t="s">
        <v>70</v>
      </c>
      <c r="D14" s="13"/>
      <c r="E14" s="13"/>
      <c r="F14" s="12"/>
      <c r="G14" s="14" t="s">
        <v>71</v>
      </c>
      <c r="H14" s="14" t="n">
        <v>33909</v>
      </c>
    </row>
    <row r="15" customFormat="false" ht="15" hidden="false" customHeight="false" outlineLevel="0" collapsed="false">
      <c r="A15" s="12" t="n">
        <v>1</v>
      </c>
      <c r="C15" s="12" t="s">
        <v>72</v>
      </c>
      <c r="D15" s="13"/>
      <c r="E15" s="13"/>
      <c r="F15" s="12"/>
      <c r="G15" s="14" t="s">
        <v>73</v>
      </c>
      <c r="H15" s="14" t="n">
        <v>33909</v>
      </c>
    </row>
    <row r="16" customFormat="false" ht="15" hidden="false" customHeight="false" outlineLevel="0" collapsed="false">
      <c r="A16" s="12" t="n">
        <v>1</v>
      </c>
      <c r="C16" s="12" t="s">
        <v>74</v>
      </c>
      <c r="D16" s="13"/>
      <c r="E16" s="13"/>
      <c r="F16" s="12"/>
      <c r="G16" s="14" t="s">
        <v>75</v>
      </c>
      <c r="H16" s="14" t="n">
        <v>33909</v>
      </c>
    </row>
    <row r="17" customFormat="false" ht="15" hidden="false" customHeight="false" outlineLevel="0" collapsed="false">
      <c r="A17" s="12" t="n">
        <v>1</v>
      </c>
      <c r="C17" s="12" t="s">
        <v>76</v>
      </c>
      <c r="D17" s="13"/>
      <c r="E17" s="13"/>
      <c r="F17" s="12"/>
      <c r="G17" s="14" t="s">
        <v>77</v>
      </c>
      <c r="H17" s="14" t="n">
        <v>33909</v>
      </c>
    </row>
    <row r="18" customFormat="false" ht="15" hidden="false" customHeight="false" outlineLevel="0" collapsed="false">
      <c r="A18" s="12" t="n">
        <v>1</v>
      </c>
      <c r="C18" s="12" t="s">
        <v>78</v>
      </c>
      <c r="D18" s="13"/>
      <c r="E18" s="13"/>
      <c r="F18" s="12"/>
      <c r="G18" s="14" t="s">
        <v>79</v>
      </c>
      <c r="H18" s="14" t="n">
        <v>33909</v>
      </c>
    </row>
    <row r="19" customFormat="false" ht="15" hidden="false" customHeight="false" outlineLevel="0" collapsed="false">
      <c r="A19" s="12" t="n">
        <v>1</v>
      </c>
      <c r="C19" s="12" t="s">
        <v>26</v>
      </c>
      <c r="D19" s="13"/>
      <c r="E19" s="13"/>
      <c r="F19" s="12"/>
      <c r="G19" s="14" t="s">
        <v>80</v>
      </c>
      <c r="H19" s="14" t="n">
        <v>33909</v>
      </c>
    </row>
    <row r="20" customFormat="false" ht="15" hidden="false" customHeight="false" outlineLevel="0" collapsed="false">
      <c r="A20" s="15" t="n">
        <v>4</v>
      </c>
      <c r="B20" s="16" t="s">
        <v>47</v>
      </c>
      <c r="C20" s="15" t="s">
        <v>48</v>
      </c>
      <c r="D20" s="10"/>
      <c r="E20" s="10"/>
      <c r="F20" s="15"/>
      <c r="G20" s="17" t="s">
        <v>81</v>
      </c>
      <c r="H20" s="17" t="n">
        <v>98085</v>
      </c>
    </row>
    <row r="21" customFormat="false" ht="15" hidden="false" customHeight="false" outlineLevel="0" collapsed="false">
      <c r="A21" s="18" t="n">
        <v>4</v>
      </c>
      <c r="B21" s="19"/>
      <c r="C21" s="18" t="s">
        <v>82</v>
      </c>
      <c r="D21" s="13"/>
      <c r="E21" s="13"/>
      <c r="F21" s="18"/>
      <c r="G21" s="20" t="s">
        <v>83</v>
      </c>
      <c r="H21" s="20" t="n">
        <v>98085</v>
      </c>
    </row>
    <row r="22" customFormat="false" ht="15" hidden="false" customHeight="false" outlineLevel="0" collapsed="false">
      <c r="A22" s="18" t="n">
        <v>4</v>
      </c>
      <c r="B22" s="19"/>
      <c r="C22" s="18" t="s">
        <v>53</v>
      </c>
      <c r="D22" s="13"/>
      <c r="E22" s="13"/>
      <c r="F22" s="18"/>
      <c r="G22" s="20" t="s">
        <v>84</v>
      </c>
      <c r="H22" s="20" t="n">
        <v>98085</v>
      </c>
    </row>
    <row r="23" customFormat="false" ht="15" hidden="false" customHeight="false" outlineLevel="0" collapsed="false">
      <c r="A23" s="18" t="n">
        <v>4</v>
      </c>
      <c r="B23" s="19"/>
      <c r="C23" s="18" t="s">
        <v>55</v>
      </c>
      <c r="D23" s="13"/>
      <c r="E23" s="13"/>
      <c r="F23" s="18"/>
      <c r="G23" s="20" t="s">
        <v>85</v>
      </c>
      <c r="H23" s="20" t="n">
        <v>98085</v>
      </c>
    </row>
    <row r="24" customFormat="false" ht="15" hidden="false" customHeight="false" outlineLevel="0" collapsed="false">
      <c r="A24" s="18" t="n">
        <v>4</v>
      </c>
      <c r="B24" s="19"/>
      <c r="C24" s="18" t="s">
        <v>57</v>
      </c>
      <c r="D24" s="13"/>
      <c r="E24" s="13"/>
      <c r="F24" s="18"/>
      <c r="G24" s="20" t="s">
        <v>86</v>
      </c>
      <c r="H24" s="20" t="n">
        <v>98085</v>
      </c>
    </row>
    <row r="25" customFormat="false" ht="15" hidden="false" customHeight="false" outlineLevel="0" collapsed="false">
      <c r="A25" s="18" t="n">
        <v>4</v>
      </c>
      <c r="B25" s="19"/>
      <c r="C25" s="18" t="s">
        <v>87</v>
      </c>
      <c r="D25" s="13"/>
      <c r="E25" s="13"/>
      <c r="F25" s="18"/>
      <c r="G25" s="20" t="s">
        <v>88</v>
      </c>
      <c r="H25" s="20" t="n">
        <v>98085</v>
      </c>
    </row>
    <row r="26" customFormat="false" ht="15" hidden="false" customHeight="false" outlineLevel="0" collapsed="false">
      <c r="A26" s="18" t="n">
        <v>4</v>
      </c>
      <c r="B26" s="19"/>
      <c r="C26" s="18" t="s">
        <v>59</v>
      </c>
      <c r="D26" s="13"/>
      <c r="E26" s="13"/>
      <c r="F26" s="18"/>
      <c r="G26" s="20" t="s">
        <v>89</v>
      </c>
      <c r="H26" s="20" t="n">
        <v>98085</v>
      </c>
    </row>
    <row r="27" customFormat="false" ht="15" hidden="false" customHeight="false" outlineLevel="0" collapsed="false">
      <c r="A27" s="18" t="n">
        <v>4</v>
      </c>
      <c r="B27" s="19"/>
      <c r="C27" s="18" t="s">
        <v>90</v>
      </c>
      <c r="D27" s="13"/>
      <c r="E27" s="13"/>
      <c r="F27" s="18"/>
      <c r="G27" s="20" t="s">
        <v>91</v>
      </c>
      <c r="H27" s="20" t="n">
        <v>98085</v>
      </c>
    </row>
    <row r="28" customFormat="false" ht="15" hidden="false" customHeight="false" outlineLevel="0" collapsed="false">
      <c r="A28" s="18" t="n">
        <v>4</v>
      </c>
      <c r="B28" s="19"/>
      <c r="C28" s="18" t="s">
        <v>92</v>
      </c>
      <c r="D28" s="13"/>
      <c r="E28" s="13"/>
      <c r="F28" s="18"/>
      <c r="G28" s="20" t="s">
        <v>93</v>
      </c>
      <c r="H28" s="20" t="n">
        <v>98085</v>
      </c>
    </row>
    <row r="29" customFormat="false" ht="15" hidden="false" customHeight="false" outlineLevel="0" collapsed="false">
      <c r="A29" s="18" t="n">
        <v>4</v>
      </c>
      <c r="B29" s="19"/>
      <c r="C29" s="18" t="s">
        <v>94</v>
      </c>
      <c r="D29" s="13"/>
      <c r="E29" s="13"/>
      <c r="F29" s="18"/>
      <c r="G29" s="20" t="s">
        <v>95</v>
      </c>
      <c r="H29" s="20" t="n">
        <v>98085</v>
      </c>
    </row>
    <row r="30" customFormat="false" ht="15" hidden="false" customHeight="false" outlineLevel="0" collapsed="false">
      <c r="A30" s="18" t="n">
        <v>4</v>
      </c>
      <c r="B30" s="19"/>
      <c r="C30" s="18" t="s">
        <v>96</v>
      </c>
      <c r="D30" s="13"/>
      <c r="E30" s="13"/>
      <c r="F30" s="18"/>
      <c r="G30" s="20" t="s">
        <v>97</v>
      </c>
      <c r="H30" s="20" t="n">
        <v>98085</v>
      </c>
    </row>
    <row r="31" customFormat="false" ht="15" hidden="false" customHeight="false" outlineLevel="0" collapsed="false">
      <c r="A31" s="18" t="n">
        <v>4</v>
      </c>
      <c r="B31" s="19"/>
      <c r="C31" s="18" t="s">
        <v>36</v>
      </c>
      <c r="D31" s="13"/>
      <c r="E31" s="13"/>
      <c r="F31" s="18"/>
      <c r="G31" s="20" t="s">
        <v>98</v>
      </c>
      <c r="H31" s="20" t="n">
        <v>98085</v>
      </c>
    </row>
    <row r="32" customFormat="false" ht="15" hidden="false" customHeight="false" outlineLevel="0" collapsed="false">
      <c r="A32" s="18" t="n">
        <v>4</v>
      </c>
      <c r="B32" s="19"/>
      <c r="C32" s="18" t="s">
        <v>64</v>
      </c>
      <c r="D32" s="13"/>
      <c r="E32" s="13"/>
      <c r="F32" s="18"/>
      <c r="G32" s="20" t="s">
        <v>99</v>
      </c>
      <c r="H32" s="20" t="n">
        <v>98085</v>
      </c>
    </row>
    <row r="33" customFormat="false" ht="15" hidden="false" customHeight="false" outlineLevel="0" collapsed="false">
      <c r="A33" s="18" t="n">
        <v>4</v>
      </c>
      <c r="B33" s="19"/>
      <c r="C33" s="18" t="s">
        <v>100</v>
      </c>
      <c r="D33" s="13"/>
      <c r="E33" s="13"/>
      <c r="F33" s="18"/>
      <c r="G33" s="20" t="s">
        <v>101</v>
      </c>
      <c r="H33" s="20" t="n">
        <v>98085</v>
      </c>
    </row>
    <row r="34" customFormat="false" ht="15" hidden="false" customHeight="false" outlineLevel="0" collapsed="false">
      <c r="A34" s="18" t="n">
        <v>4</v>
      </c>
      <c r="B34" s="19"/>
      <c r="C34" s="18" t="s">
        <v>102</v>
      </c>
      <c r="D34" s="13"/>
      <c r="E34" s="13"/>
      <c r="F34" s="18"/>
      <c r="G34" s="20" t="s">
        <v>103</v>
      </c>
      <c r="H34" s="20" t="n">
        <v>98085</v>
      </c>
    </row>
    <row r="35" customFormat="false" ht="15" hidden="false" customHeight="false" outlineLevel="0" collapsed="false">
      <c r="A35" s="18" t="n">
        <v>4</v>
      </c>
      <c r="B35" s="19"/>
      <c r="C35" s="18" t="s">
        <v>104</v>
      </c>
      <c r="D35" s="13"/>
      <c r="E35" s="13"/>
      <c r="F35" s="18"/>
      <c r="G35" s="20" t="s">
        <v>105</v>
      </c>
      <c r="H35" s="20" t="n">
        <v>98085</v>
      </c>
    </row>
    <row r="36" customFormat="false" ht="15" hidden="false" customHeight="false" outlineLevel="0" collapsed="false">
      <c r="A36" s="18" t="n">
        <v>4</v>
      </c>
      <c r="B36" s="19"/>
      <c r="C36" s="18" t="s">
        <v>106</v>
      </c>
      <c r="D36" s="13"/>
      <c r="E36" s="13"/>
      <c r="F36" s="18"/>
      <c r="G36" s="20" t="s">
        <v>107</v>
      </c>
      <c r="H36" s="20" t="n">
        <v>98085</v>
      </c>
    </row>
    <row r="37" customFormat="false" ht="15" hidden="false" customHeight="false" outlineLevel="0" collapsed="false">
      <c r="A37" s="18" t="n">
        <v>4</v>
      </c>
      <c r="B37" s="19"/>
      <c r="C37" s="18" t="s">
        <v>108</v>
      </c>
      <c r="D37" s="13"/>
      <c r="E37" s="13"/>
      <c r="F37" s="18"/>
      <c r="G37" s="20" t="s">
        <v>109</v>
      </c>
      <c r="H37" s="20" t="n">
        <v>98085</v>
      </c>
    </row>
    <row r="38" customFormat="false" ht="15" hidden="false" customHeight="false" outlineLevel="0" collapsed="false">
      <c r="A38" s="18" t="n">
        <v>4</v>
      </c>
      <c r="B38" s="19"/>
      <c r="C38" s="18" t="s">
        <v>70</v>
      </c>
      <c r="D38" s="13"/>
      <c r="E38" s="13"/>
      <c r="F38" s="18"/>
      <c r="G38" s="20" t="s">
        <v>110</v>
      </c>
      <c r="H38" s="20" t="n">
        <v>98085</v>
      </c>
    </row>
    <row r="39" customFormat="false" ht="15" hidden="false" customHeight="false" outlineLevel="0" collapsed="false">
      <c r="A39" s="18" t="n">
        <v>4</v>
      </c>
      <c r="B39" s="19"/>
      <c r="C39" s="18" t="s">
        <v>72</v>
      </c>
      <c r="D39" s="13"/>
      <c r="E39" s="13"/>
      <c r="F39" s="18"/>
      <c r="G39" s="20" t="s">
        <v>111</v>
      </c>
      <c r="H39" s="20" t="n">
        <v>98085</v>
      </c>
    </row>
    <row r="40" customFormat="false" ht="15" hidden="false" customHeight="false" outlineLevel="0" collapsed="false">
      <c r="A40" s="18" t="n">
        <v>4</v>
      </c>
      <c r="B40" s="19"/>
      <c r="C40" s="18" t="s">
        <v>112</v>
      </c>
      <c r="D40" s="13"/>
      <c r="E40" s="13"/>
      <c r="F40" s="18"/>
      <c r="G40" s="20" t="s">
        <v>113</v>
      </c>
      <c r="H40" s="20" t="n">
        <v>98085</v>
      </c>
    </row>
    <row r="41" customFormat="false" ht="15" hidden="false" customHeight="false" outlineLevel="0" collapsed="false">
      <c r="A41" s="18" t="n">
        <v>4</v>
      </c>
      <c r="B41" s="19"/>
      <c r="C41" s="18" t="s">
        <v>114</v>
      </c>
      <c r="D41" s="13"/>
      <c r="E41" s="13"/>
      <c r="F41" s="18"/>
      <c r="G41" s="20" t="s">
        <v>115</v>
      </c>
      <c r="H41" s="20" t="n">
        <v>98085</v>
      </c>
    </row>
    <row r="42" customFormat="false" ht="15" hidden="false" customHeight="false" outlineLevel="0" collapsed="false">
      <c r="A42" s="8" t="n">
        <v>7</v>
      </c>
      <c r="B42" s="9" t="s">
        <v>47</v>
      </c>
      <c r="C42" s="8" t="s">
        <v>116</v>
      </c>
      <c r="D42" s="10"/>
      <c r="E42" s="10"/>
      <c r="F42" s="8"/>
      <c r="G42" s="11" t="s">
        <v>117</v>
      </c>
      <c r="H42" s="11" t="n">
        <v>102841</v>
      </c>
    </row>
    <row r="43" customFormat="false" ht="15" hidden="false" customHeight="false" outlineLevel="0" collapsed="false">
      <c r="A43" s="12" t="n">
        <v>7</v>
      </c>
      <c r="C43" s="12" t="s">
        <v>48</v>
      </c>
      <c r="D43" s="13"/>
      <c r="E43" s="13"/>
      <c r="F43" s="12"/>
      <c r="G43" s="14" t="s">
        <v>118</v>
      </c>
      <c r="H43" s="14" t="n">
        <v>102841</v>
      </c>
    </row>
    <row r="44" customFormat="false" ht="15" hidden="false" customHeight="false" outlineLevel="0" collapsed="false">
      <c r="A44" s="12" t="n">
        <v>7</v>
      </c>
      <c r="C44" s="12" t="s">
        <v>53</v>
      </c>
      <c r="D44" s="13"/>
      <c r="E44" s="13"/>
      <c r="F44" s="12"/>
      <c r="G44" s="14" t="s">
        <v>119</v>
      </c>
      <c r="H44" s="14" t="n">
        <v>102841</v>
      </c>
    </row>
    <row r="45" customFormat="false" ht="15" hidden="false" customHeight="false" outlineLevel="0" collapsed="false">
      <c r="A45" s="12" t="n">
        <v>7</v>
      </c>
      <c r="C45" s="12" t="s">
        <v>120</v>
      </c>
      <c r="D45" s="13"/>
      <c r="E45" s="13"/>
      <c r="F45" s="12"/>
      <c r="G45" s="14" t="s">
        <v>121</v>
      </c>
      <c r="H45" s="14" t="n">
        <v>102841</v>
      </c>
    </row>
    <row r="46" customFormat="false" ht="15" hidden="false" customHeight="false" outlineLevel="0" collapsed="false">
      <c r="A46" s="12" t="n">
        <v>7</v>
      </c>
      <c r="C46" s="12" t="s">
        <v>122</v>
      </c>
      <c r="D46" s="13"/>
      <c r="E46" s="13"/>
      <c r="F46" s="12"/>
      <c r="G46" s="14" t="s">
        <v>123</v>
      </c>
      <c r="H46" s="14" t="n">
        <v>102841</v>
      </c>
    </row>
    <row r="47" customFormat="false" ht="15" hidden="false" customHeight="false" outlineLevel="0" collapsed="false">
      <c r="A47" s="12" t="n">
        <v>7</v>
      </c>
      <c r="C47" s="12" t="s">
        <v>124</v>
      </c>
      <c r="D47" s="13"/>
      <c r="E47" s="13"/>
      <c r="F47" s="12"/>
      <c r="G47" s="14" t="s">
        <v>125</v>
      </c>
      <c r="H47" s="14" t="n">
        <v>102841</v>
      </c>
    </row>
    <row r="48" customFormat="false" ht="15" hidden="false" customHeight="false" outlineLevel="0" collapsed="false">
      <c r="A48" s="12" t="n">
        <v>7</v>
      </c>
      <c r="C48" s="12" t="s">
        <v>126</v>
      </c>
      <c r="D48" s="13"/>
      <c r="E48" s="13"/>
      <c r="F48" s="12"/>
      <c r="G48" s="14" t="s">
        <v>127</v>
      </c>
      <c r="H48" s="14" t="n">
        <v>102841</v>
      </c>
    </row>
    <row r="49" customFormat="false" ht="15" hidden="false" customHeight="false" outlineLevel="0" collapsed="false">
      <c r="A49" s="12" t="n">
        <v>7</v>
      </c>
      <c r="C49" s="12" t="s">
        <v>57</v>
      </c>
      <c r="D49" s="13"/>
      <c r="E49" s="13"/>
      <c r="F49" s="12"/>
      <c r="G49" s="14" t="s">
        <v>128</v>
      </c>
      <c r="H49" s="14" t="n">
        <v>102841</v>
      </c>
    </row>
    <row r="50" customFormat="false" ht="15" hidden="false" customHeight="false" outlineLevel="0" collapsed="false">
      <c r="A50" s="12" t="n">
        <v>7</v>
      </c>
      <c r="C50" s="12" t="s">
        <v>129</v>
      </c>
      <c r="D50" s="13"/>
      <c r="E50" s="13"/>
      <c r="F50" s="12"/>
      <c r="G50" s="14" t="s">
        <v>130</v>
      </c>
      <c r="H50" s="14" t="n">
        <v>102841</v>
      </c>
    </row>
    <row r="51" customFormat="false" ht="15" hidden="false" customHeight="false" outlineLevel="0" collapsed="false">
      <c r="A51" s="12" t="n">
        <v>7</v>
      </c>
      <c r="C51" s="12" t="s">
        <v>131</v>
      </c>
      <c r="D51" s="13"/>
      <c r="E51" s="13"/>
      <c r="F51" s="12"/>
      <c r="G51" s="14" t="s">
        <v>132</v>
      </c>
      <c r="H51" s="14" t="n">
        <v>102841</v>
      </c>
    </row>
    <row r="52" customFormat="false" ht="15" hidden="false" customHeight="false" outlineLevel="0" collapsed="false">
      <c r="A52" s="12" t="n">
        <v>7</v>
      </c>
      <c r="C52" s="12" t="s">
        <v>59</v>
      </c>
      <c r="D52" s="13"/>
      <c r="E52" s="13"/>
      <c r="F52" s="12"/>
      <c r="G52" s="14" t="s">
        <v>133</v>
      </c>
      <c r="H52" s="14" t="n">
        <v>102841</v>
      </c>
    </row>
    <row r="53" customFormat="false" ht="15" hidden="false" customHeight="false" outlineLevel="0" collapsed="false">
      <c r="A53" s="12" t="n">
        <v>7</v>
      </c>
      <c r="C53" s="12" t="s">
        <v>134</v>
      </c>
      <c r="D53" s="13"/>
      <c r="E53" s="13"/>
      <c r="F53" s="12"/>
      <c r="G53" s="14" t="s">
        <v>135</v>
      </c>
      <c r="H53" s="14" t="n">
        <v>102841</v>
      </c>
    </row>
    <row r="54" customFormat="false" ht="15" hidden="false" customHeight="false" outlineLevel="0" collapsed="false">
      <c r="A54" s="12" t="n">
        <v>7</v>
      </c>
      <c r="C54" s="12" t="s">
        <v>36</v>
      </c>
      <c r="D54" s="13"/>
      <c r="E54" s="13"/>
      <c r="F54" s="12"/>
      <c r="G54" s="14" t="s">
        <v>136</v>
      </c>
      <c r="H54" s="14" t="n">
        <v>102841</v>
      </c>
    </row>
    <row r="55" customFormat="false" ht="15" hidden="false" customHeight="false" outlineLevel="0" collapsed="false">
      <c r="A55" s="12" t="n">
        <v>7</v>
      </c>
      <c r="C55" s="12" t="s">
        <v>137</v>
      </c>
      <c r="D55" s="13"/>
      <c r="E55" s="13"/>
      <c r="F55" s="12"/>
      <c r="G55" s="14" t="s">
        <v>138</v>
      </c>
      <c r="H55" s="14" t="n">
        <v>102841</v>
      </c>
    </row>
    <row r="56" customFormat="false" ht="15" hidden="false" customHeight="false" outlineLevel="0" collapsed="false">
      <c r="A56" s="12" t="n">
        <v>7</v>
      </c>
      <c r="C56" s="12" t="s">
        <v>64</v>
      </c>
      <c r="D56" s="13"/>
      <c r="E56" s="13"/>
      <c r="F56" s="12"/>
      <c r="G56" s="14" t="s">
        <v>139</v>
      </c>
      <c r="H56" s="14" t="n">
        <v>102841</v>
      </c>
    </row>
    <row r="57" customFormat="false" ht="15" hidden="false" customHeight="false" outlineLevel="0" collapsed="false">
      <c r="A57" s="12" t="n">
        <v>7</v>
      </c>
      <c r="C57" s="12" t="s">
        <v>140</v>
      </c>
      <c r="D57" s="13"/>
      <c r="E57" s="13"/>
      <c r="F57" s="12"/>
      <c r="G57" s="14" t="s">
        <v>141</v>
      </c>
      <c r="H57" s="14" t="n">
        <v>102841</v>
      </c>
    </row>
    <row r="58" customFormat="false" ht="15" hidden="false" customHeight="false" outlineLevel="0" collapsed="false">
      <c r="A58" s="12" t="n">
        <v>7</v>
      </c>
      <c r="C58" s="12" t="s">
        <v>70</v>
      </c>
      <c r="D58" s="13"/>
      <c r="E58" s="13"/>
      <c r="F58" s="12"/>
      <c r="G58" s="14" t="s">
        <v>142</v>
      </c>
      <c r="H58" s="14" t="n">
        <v>102841</v>
      </c>
    </row>
    <row r="59" customFormat="false" ht="15" hidden="false" customHeight="false" outlineLevel="0" collapsed="false">
      <c r="A59" s="12" t="n">
        <v>7</v>
      </c>
      <c r="C59" s="12" t="s">
        <v>72</v>
      </c>
      <c r="D59" s="13"/>
      <c r="E59" s="13"/>
      <c r="F59" s="12"/>
      <c r="G59" s="14" t="s">
        <v>143</v>
      </c>
      <c r="H59" s="14" t="n">
        <v>102841</v>
      </c>
    </row>
    <row r="60" customFormat="false" ht="15" hidden="false" customHeight="false" outlineLevel="0" collapsed="false">
      <c r="A60" s="15" t="n">
        <v>10</v>
      </c>
      <c r="B60" s="16" t="s">
        <v>47</v>
      </c>
      <c r="C60" s="15" t="s">
        <v>48</v>
      </c>
      <c r="D60" s="10"/>
      <c r="E60" s="10"/>
      <c r="F60" s="15"/>
      <c r="G60" s="17" t="s">
        <v>144</v>
      </c>
      <c r="H60" s="17" t="n">
        <v>129322</v>
      </c>
    </row>
    <row r="61" customFormat="false" ht="15" hidden="false" customHeight="false" outlineLevel="0" collapsed="false">
      <c r="A61" s="18" t="n">
        <v>10</v>
      </c>
      <c r="B61" s="19"/>
      <c r="C61" s="18" t="s">
        <v>50</v>
      </c>
      <c r="D61" s="13"/>
      <c r="E61" s="13"/>
      <c r="F61" s="18"/>
      <c r="G61" s="20" t="s">
        <v>145</v>
      </c>
      <c r="H61" s="20" t="n">
        <v>129322</v>
      </c>
    </row>
    <row r="62" customFormat="false" ht="15" hidden="false" customHeight="false" outlineLevel="0" collapsed="false">
      <c r="A62" s="18" t="n">
        <v>10</v>
      </c>
      <c r="B62" s="19"/>
      <c r="C62" s="18" t="s">
        <v>34</v>
      </c>
      <c r="D62" s="13"/>
      <c r="E62" s="13"/>
      <c r="F62" s="18"/>
      <c r="G62" s="20" t="s">
        <v>146</v>
      </c>
      <c r="H62" s="20" t="n">
        <v>129322</v>
      </c>
    </row>
    <row r="63" customFormat="false" ht="15" hidden="false" customHeight="false" outlineLevel="0" collapsed="false">
      <c r="A63" s="18" t="n">
        <v>10</v>
      </c>
      <c r="B63" s="19"/>
      <c r="C63" s="18" t="s">
        <v>53</v>
      </c>
      <c r="D63" s="13"/>
      <c r="E63" s="13"/>
      <c r="F63" s="18"/>
      <c r="G63" s="20" t="s">
        <v>147</v>
      </c>
      <c r="H63" s="20" t="n">
        <v>129322</v>
      </c>
    </row>
    <row r="64" customFormat="false" ht="15" hidden="false" customHeight="false" outlineLevel="0" collapsed="false">
      <c r="A64" s="18" t="n">
        <v>10</v>
      </c>
      <c r="B64" s="19"/>
      <c r="C64" s="18" t="s">
        <v>55</v>
      </c>
      <c r="D64" s="13"/>
      <c r="E64" s="13"/>
      <c r="F64" s="18"/>
      <c r="G64" s="20" t="s">
        <v>148</v>
      </c>
      <c r="H64" s="20" t="n">
        <v>129322</v>
      </c>
    </row>
    <row r="65" customFormat="false" ht="15" hidden="false" customHeight="false" outlineLevel="0" collapsed="false">
      <c r="A65" s="18" t="n">
        <v>10</v>
      </c>
      <c r="B65" s="19"/>
      <c r="C65" s="18" t="s">
        <v>57</v>
      </c>
      <c r="D65" s="13"/>
      <c r="E65" s="13"/>
      <c r="F65" s="18"/>
      <c r="G65" s="20" t="s">
        <v>149</v>
      </c>
      <c r="H65" s="20" t="n">
        <v>129322</v>
      </c>
    </row>
    <row r="66" customFormat="false" ht="15" hidden="false" customHeight="false" outlineLevel="0" collapsed="false">
      <c r="A66" s="18" t="n">
        <v>10</v>
      </c>
      <c r="B66" s="19"/>
      <c r="C66" s="18" t="s">
        <v>59</v>
      </c>
      <c r="D66" s="13"/>
      <c r="E66" s="13"/>
      <c r="F66" s="18"/>
      <c r="G66" s="20" t="s">
        <v>150</v>
      </c>
      <c r="H66" s="20" t="n">
        <v>129322</v>
      </c>
    </row>
    <row r="67" customFormat="false" ht="15" hidden="false" customHeight="false" outlineLevel="0" collapsed="false">
      <c r="A67" s="18" t="n">
        <v>10</v>
      </c>
      <c r="B67" s="19"/>
      <c r="C67" s="18" t="s">
        <v>36</v>
      </c>
      <c r="D67" s="13"/>
      <c r="E67" s="13"/>
      <c r="F67" s="18"/>
      <c r="G67" s="20" t="s">
        <v>151</v>
      </c>
      <c r="H67" s="20" t="n">
        <v>129322</v>
      </c>
    </row>
    <row r="68" customFormat="false" ht="15" hidden="false" customHeight="false" outlineLevel="0" collapsed="false">
      <c r="A68" s="18" t="n">
        <v>10</v>
      </c>
      <c r="B68" s="19"/>
      <c r="C68" s="18" t="s">
        <v>64</v>
      </c>
      <c r="D68" s="13"/>
      <c r="E68" s="13"/>
      <c r="F68" s="18"/>
      <c r="G68" s="20" t="s">
        <v>152</v>
      </c>
      <c r="H68" s="20" t="n">
        <v>129322</v>
      </c>
    </row>
    <row r="69" customFormat="false" ht="15" hidden="false" customHeight="false" outlineLevel="0" collapsed="false">
      <c r="A69" s="18" t="n">
        <v>10</v>
      </c>
      <c r="B69" s="19"/>
      <c r="C69" s="18" t="s">
        <v>70</v>
      </c>
      <c r="D69" s="13"/>
      <c r="E69" s="13"/>
      <c r="F69" s="18"/>
      <c r="G69" s="20" t="s">
        <v>153</v>
      </c>
      <c r="H69" s="20" t="n">
        <v>129322</v>
      </c>
    </row>
    <row r="70" customFormat="false" ht="15" hidden="false" customHeight="false" outlineLevel="0" collapsed="false">
      <c r="A70" s="18" t="n">
        <v>10</v>
      </c>
      <c r="B70" s="19"/>
      <c r="C70" s="18" t="s">
        <v>72</v>
      </c>
      <c r="D70" s="13"/>
      <c r="E70" s="13"/>
      <c r="F70" s="18"/>
      <c r="G70" s="20" t="s">
        <v>154</v>
      </c>
      <c r="H70" s="20" t="n">
        <v>129322</v>
      </c>
    </row>
    <row r="71" customFormat="false" ht="15" hidden="false" customHeight="false" outlineLevel="0" collapsed="false">
      <c r="A71" s="18" t="n">
        <v>10</v>
      </c>
      <c r="B71" s="19"/>
      <c r="C71" s="18" t="s">
        <v>74</v>
      </c>
      <c r="D71" s="13"/>
      <c r="E71" s="13"/>
      <c r="F71" s="18"/>
      <c r="G71" s="20" t="s">
        <v>155</v>
      </c>
      <c r="H71" s="20" t="n">
        <v>129322</v>
      </c>
    </row>
    <row r="72" customFormat="false" ht="15" hidden="false" customHeight="false" outlineLevel="0" collapsed="false">
      <c r="A72" s="18" t="n">
        <v>10</v>
      </c>
      <c r="B72" s="19"/>
      <c r="C72" s="18" t="s">
        <v>156</v>
      </c>
      <c r="D72" s="13"/>
      <c r="E72" s="13"/>
      <c r="F72" s="18"/>
      <c r="G72" s="20" t="s">
        <v>157</v>
      </c>
      <c r="H72" s="20" t="n">
        <v>129322</v>
      </c>
    </row>
    <row r="73" customFormat="false" ht="15" hidden="false" customHeight="false" outlineLevel="0" collapsed="false">
      <c r="A73" s="18" t="n">
        <v>10</v>
      </c>
      <c r="B73" s="19"/>
      <c r="C73" s="18" t="s">
        <v>158</v>
      </c>
      <c r="D73" s="13"/>
      <c r="E73" s="13"/>
      <c r="F73" s="18"/>
      <c r="G73" s="20" t="s">
        <v>159</v>
      </c>
      <c r="H73" s="20" t="n">
        <v>129322</v>
      </c>
    </row>
    <row r="74" customFormat="false" ht="15" hidden="false" customHeight="false" outlineLevel="0" collapsed="false">
      <c r="A74" s="18" t="n">
        <v>10</v>
      </c>
      <c r="B74" s="19"/>
      <c r="C74" s="18" t="s">
        <v>76</v>
      </c>
      <c r="D74" s="13"/>
      <c r="E74" s="13"/>
      <c r="F74" s="18"/>
      <c r="G74" s="20" t="s">
        <v>160</v>
      </c>
      <c r="H74" s="20" t="n">
        <v>129322</v>
      </c>
    </row>
    <row r="75" customFormat="false" ht="15" hidden="false" customHeight="false" outlineLevel="0" collapsed="false">
      <c r="A75" s="18" t="n">
        <v>10</v>
      </c>
      <c r="B75" s="19"/>
      <c r="C75" s="18" t="s">
        <v>161</v>
      </c>
      <c r="D75" s="13"/>
      <c r="E75" s="13"/>
      <c r="F75" s="18"/>
      <c r="G75" s="20" t="s">
        <v>162</v>
      </c>
      <c r="H75" s="20" t="n">
        <v>129322</v>
      </c>
    </row>
    <row r="76" customFormat="false" ht="15" hidden="false" customHeight="false" outlineLevel="0" collapsed="false">
      <c r="A76" s="18" t="n">
        <v>10</v>
      </c>
      <c r="B76" s="19"/>
      <c r="C76" s="18" t="s">
        <v>163</v>
      </c>
      <c r="D76" s="13"/>
      <c r="E76" s="13"/>
      <c r="F76" s="18"/>
      <c r="G76" s="20" t="s">
        <v>164</v>
      </c>
      <c r="H76" s="20" t="n">
        <v>129322</v>
      </c>
    </row>
    <row r="77" customFormat="false" ht="15" hidden="false" customHeight="false" outlineLevel="0" collapsed="false">
      <c r="A77" s="18" t="n">
        <v>10</v>
      </c>
      <c r="B77" s="19"/>
      <c r="C77" s="18" t="s">
        <v>78</v>
      </c>
      <c r="D77" s="13"/>
      <c r="E77" s="13"/>
      <c r="F77" s="18"/>
      <c r="G77" s="20" t="s">
        <v>165</v>
      </c>
      <c r="H77" s="20" t="n">
        <v>129322</v>
      </c>
    </row>
    <row r="78" customFormat="false" ht="15" hidden="false" customHeight="false" outlineLevel="0" collapsed="false">
      <c r="A78" s="18" t="n">
        <v>10</v>
      </c>
      <c r="B78" s="19"/>
      <c r="C78" s="18" t="s">
        <v>166</v>
      </c>
      <c r="D78" s="13"/>
      <c r="E78" s="13"/>
      <c r="F78" s="18"/>
      <c r="G78" s="20" t="s">
        <v>167</v>
      </c>
      <c r="H78" s="20" t="n">
        <v>129322</v>
      </c>
    </row>
    <row r="79" customFormat="false" ht="15" hidden="false" customHeight="false" outlineLevel="0" collapsed="false">
      <c r="A79" s="8" t="n">
        <v>13</v>
      </c>
      <c r="B79" s="9" t="s">
        <v>47</v>
      </c>
      <c r="C79" s="8" t="s">
        <v>48</v>
      </c>
      <c r="D79" s="10"/>
      <c r="E79" s="10"/>
      <c r="F79" s="8"/>
      <c r="G79" s="11" t="s">
        <v>168</v>
      </c>
      <c r="H79" s="11" t="n">
        <v>163589</v>
      </c>
    </row>
    <row r="80" customFormat="false" ht="15" hidden="false" customHeight="false" outlineLevel="0" collapsed="false">
      <c r="A80" s="12" t="n">
        <v>13</v>
      </c>
      <c r="C80" s="12" t="s">
        <v>53</v>
      </c>
      <c r="D80" s="13"/>
      <c r="E80" s="13"/>
      <c r="F80" s="12"/>
      <c r="G80" s="14" t="s">
        <v>169</v>
      </c>
      <c r="H80" s="14" t="n">
        <v>163589</v>
      </c>
    </row>
    <row r="81" customFormat="false" ht="15" hidden="false" customHeight="false" outlineLevel="0" collapsed="false">
      <c r="A81" s="12" t="n">
        <v>13</v>
      </c>
      <c r="C81" s="12" t="s">
        <v>55</v>
      </c>
      <c r="D81" s="13"/>
      <c r="E81" s="13"/>
      <c r="F81" s="12"/>
      <c r="G81" s="14" t="s">
        <v>170</v>
      </c>
      <c r="H81" s="14" t="n">
        <v>163589</v>
      </c>
    </row>
    <row r="82" customFormat="false" ht="15" hidden="false" customHeight="false" outlineLevel="0" collapsed="false">
      <c r="A82" s="12" t="n">
        <v>13</v>
      </c>
      <c r="C82" s="12" t="s">
        <v>57</v>
      </c>
      <c r="D82" s="13"/>
      <c r="E82" s="13"/>
      <c r="F82" s="12"/>
      <c r="G82" s="14" t="s">
        <v>171</v>
      </c>
      <c r="H82" s="14" t="n">
        <v>163589</v>
      </c>
    </row>
    <row r="83" customFormat="false" ht="15" hidden="false" customHeight="false" outlineLevel="0" collapsed="false">
      <c r="A83" s="12" t="n">
        <v>13</v>
      </c>
      <c r="C83" s="12" t="s">
        <v>172</v>
      </c>
      <c r="D83" s="13"/>
      <c r="E83" s="13"/>
      <c r="F83" s="12"/>
      <c r="G83" s="14" t="s">
        <v>173</v>
      </c>
      <c r="H83" s="14" t="n">
        <v>163589</v>
      </c>
    </row>
    <row r="84" customFormat="false" ht="15" hidden="false" customHeight="false" outlineLevel="0" collapsed="false">
      <c r="A84" s="12" t="n">
        <v>13</v>
      </c>
      <c r="C84" s="12" t="s">
        <v>174</v>
      </c>
      <c r="D84" s="13"/>
      <c r="E84" s="13"/>
      <c r="F84" s="12"/>
      <c r="G84" s="14" t="s">
        <v>175</v>
      </c>
      <c r="H84" s="14" t="n">
        <v>163589</v>
      </c>
    </row>
    <row r="85" customFormat="false" ht="15" hidden="false" customHeight="false" outlineLevel="0" collapsed="false">
      <c r="A85" s="12" t="n">
        <v>13</v>
      </c>
      <c r="C85" s="12" t="s">
        <v>59</v>
      </c>
      <c r="D85" s="13"/>
      <c r="E85" s="13"/>
      <c r="F85" s="12"/>
      <c r="G85" s="14" t="s">
        <v>176</v>
      </c>
      <c r="H85" s="14" t="n">
        <v>163589</v>
      </c>
    </row>
    <row r="86" customFormat="false" ht="15" hidden="false" customHeight="false" outlineLevel="0" collapsed="false">
      <c r="A86" s="12" t="n">
        <v>13</v>
      </c>
      <c r="C86" s="12" t="s">
        <v>90</v>
      </c>
      <c r="D86" s="13"/>
      <c r="E86" s="13"/>
      <c r="F86" s="12"/>
      <c r="G86" s="14" t="s">
        <v>177</v>
      </c>
      <c r="H86" s="14" t="n">
        <v>163589</v>
      </c>
    </row>
    <row r="87" customFormat="false" ht="15" hidden="false" customHeight="false" outlineLevel="0" collapsed="false">
      <c r="A87" s="12" t="n">
        <v>13</v>
      </c>
      <c r="C87" s="12" t="s">
        <v>178</v>
      </c>
      <c r="D87" s="13"/>
      <c r="E87" s="13"/>
      <c r="F87" s="12"/>
      <c r="G87" s="14" t="s">
        <v>179</v>
      </c>
      <c r="H87" s="14" t="n">
        <v>163589</v>
      </c>
    </row>
    <row r="88" customFormat="false" ht="15" hidden="false" customHeight="false" outlineLevel="0" collapsed="false">
      <c r="A88" s="12" t="n">
        <v>13</v>
      </c>
      <c r="C88" s="12" t="s">
        <v>96</v>
      </c>
      <c r="D88" s="13"/>
      <c r="E88" s="13"/>
      <c r="F88" s="12"/>
      <c r="G88" s="14" t="s">
        <v>180</v>
      </c>
      <c r="H88" s="14" t="n">
        <v>163589</v>
      </c>
    </row>
    <row r="89" customFormat="false" ht="15" hidden="false" customHeight="false" outlineLevel="0" collapsed="false">
      <c r="A89" s="12" t="n">
        <v>13</v>
      </c>
      <c r="C89" s="12" t="s">
        <v>181</v>
      </c>
      <c r="D89" s="13"/>
      <c r="E89" s="13"/>
      <c r="F89" s="12"/>
      <c r="G89" s="14" t="s">
        <v>182</v>
      </c>
      <c r="H89" s="14" t="n">
        <v>163589</v>
      </c>
    </row>
    <row r="90" customFormat="false" ht="15" hidden="false" customHeight="false" outlineLevel="0" collapsed="false">
      <c r="A90" s="12" t="n">
        <v>13</v>
      </c>
      <c r="C90" s="12" t="s">
        <v>36</v>
      </c>
      <c r="D90" s="13"/>
      <c r="E90" s="13"/>
      <c r="F90" s="12"/>
      <c r="G90" s="14" t="s">
        <v>183</v>
      </c>
      <c r="H90" s="14" t="n">
        <v>163589</v>
      </c>
    </row>
    <row r="91" customFormat="false" ht="15" hidden="false" customHeight="false" outlineLevel="0" collapsed="false">
      <c r="A91" s="12" t="n">
        <v>13</v>
      </c>
      <c r="C91" s="12" t="s">
        <v>64</v>
      </c>
      <c r="D91" s="13"/>
      <c r="E91" s="13"/>
      <c r="F91" s="12"/>
      <c r="G91" s="14" t="s">
        <v>184</v>
      </c>
      <c r="H91" s="14" t="n">
        <v>163589</v>
      </c>
    </row>
    <row r="92" customFormat="false" ht="15" hidden="false" customHeight="false" outlineLevel="0" collapsed="false">
      <c r="A92" s="12" t="n">
        <v>13</v>
      </c>
      <c r="C92" s="12" t="s">
        <v>102</v>
      </c>
      <c r="D92" s="13"/>
      <c r="E92" s="13"/>
      <c r="F92" s="12"/>
      <c r="G92" s="14" t="s">
        <v>185</v>
      </c>
      <c r="H92" s="14" t="n">
        <v>163589</v>
      </c>
    </row>
    <row r="93" customFormat="false" ht="15" hidden="false" customHeight="false" outlineLevel="0" collapsed="false">
      <c r="A93" s="12" t="n">
        <v>13</v>
      </c>
      <c r="C93" s="12" t="s">
        <v>104</v>
      </c>
      <c r="D93" s="13"/>
      <c r="E93" s="13"/>
      <c r="F93" s="12"/>
      <c r="G93" s="14" t="s">
        <v>186</v>
      </c>
      <c r="H93" s="14" t="n">
        <v>163589</v>
      </c>
    </row>
    <row r="94" customFormat="false" ht="15" hidden="false" customHeight="false" outlineLevel="0" collapsed="false">
      <c r="A94" s="12" t="n">
        <v>13</v>
      </c>
      <c r="C94" s="12" t="s">
        <v>70</v>
      </c>
      <c r="D94" s="13"/>
      <c r="E94" s="13"/>
      <c r="F94" s="12"/>
      <c r="G94" s="14" t="s">
        <v>187</v>
      </c>
      <c r="H94" s="14" t="n">
        <v>163589</v>
      </c>
    </row>
    <row r="95" customFormat="false" ht="15" hidden="false" customHeight="false" outlineLevel="0" collapsed="false">
      <c r="A95" s="12" t="n">
        <v>13</v>
      </c>
      <c r="C95" s="12" t="s">
        <v>72</v>
      </c>
      <c r="D95" s="13"/>
      <c r="E95" s="13"/>
      <c r="F95" s="12"/>
      <c r="G95" s="14" t="s">
        <v>188</v>
      </c>
      <c r="H95" s="14" t="n">
        <v>163589</v>
      </c>
    </row>
    <row r="96" customFormat="false" ht="15" hidden="false" customHeight="false" outlineLevel="0" collapsed="false">
      <c r="A96" s="12" t="n">
        <v>13</v>
      </c>
      <c r="C96" s="12" t="s">
        <v>112</v>
      </c>
      <c r="D96" s="13"/>
      <c r="E96" s="13"/>
      <c r="F96" s="12"/>
      <c r="G96" s="14" t="s">
        <v>189</v>
      </c>
      <c r="H96" s="14" t="n">
        <v>163589</v>
      </c>
    </row>
    <row r="97" customFormat="false" ht="15" hidden="false" customHeight="false" outlineLevel="0" collapsed="false">
      <c r="A97" s="12" t="n">
        <v>13</v>
      </c>
      <c r="C97" s="12" t="s">
        <v>190</v>
      </c>
      <c r="D97" s="13"/>
      <c r="E97" s="13"/>
      <c r="F97" s="12"/>
      <c r="G97" s="14" t="s">
        <v>191</v>
      </c>
      <c r="H97" s="14" t="n">
        <v>163589</v>
      </c>
    </row>
    <row r="98" customFormat="false" ht="15" hidden="false" customHeight="false" outlineLevel="0" collapsed="false">
      <c r="A98" s="12" t="n">
        <v>13</v>
      </c>
      <c r="C98" s="12" t="s">
        <v>192</v>
      </c>
      <c r="D98" s="13"/>
      <c r="E98" s="13"/>
      <c r="F98" s="12"/>
      <c r="G98" s="14" t="s">
        <v>193</v>
      </c>
      <c r="H98" s="14" t="n">
        <v>163589</v>
      </c>
    </row>
    <row r="99" customFormat="false" ht="15" hidden="false" customHeight="false" outlineLevel="0" collapsed="false">
      <c r="A99" s="12" t="n">
        <v>13</v>
      </c>
      <c r="C99" s="12" t="s">
        <v>194</v>
      </c>
      <c r="D99" s="13"/>
      <c r="E99" s="13"/>
      <c r="F99" s="12"/>
      <c r="G99" s="14" t="s">
        <v>195</v>
      </c>
      <c r="H99" s="14" t="n">
        <v>163589</v>
      </c>
    </row>
    <row r="100" customFormat="false" ht="15" hidden="false" customHeight="false" outlineLevel="0" collapsed="false">
      <c r="A100" s="12" t="n">
        <v>13</v>
      </c>
      <c r="C100" s="12" t="s">
        <v>196</v>
      </c>
      <c r="D100" s="13"/>
      <c r="E100" s="13"/>
      <c r="F100" s="12"/>
      <c r="G100" s="14" t="s">
        <v>197</v>
      </c>
      <c r="H100" s="14" t="n">
        <v>163589</v>
      </c>
    </row>
    <row r="101" customFormat="false" ht="15" hidden="false" customHeight="false" outlineLevel="0" collapsed="false">
      <c r="A101" s="12" t="n">
        <v>13</v>
      </c>
      <c r="C101" s="12" t="s">
        <v>198</v>
      </c>
      <c r="D101" s="13"/>
      <c r="E101" s="13"/>
      <c r="F101" s="12"/>
      <c r="G101" s="14" t="s">
        <v>199</v>
      </c>
      <c r="H101" s="14" t="n">
        <v>163589</v>
      </c>
    </row>
    <row r="102" customFormat="false" ht="15" hidden="false" customHeight="false" outlineLevel="0" collapsed="false">
      <c r="A102" s="15" t="n">
        <v>16</v>
      </c>
      <c r="B102" s="16" t="s">
        <v>47</v>
      </c>
      <c r="C102" s="15" t="s">
        <v>48</v>
      </c>
      <c r="D102" s="10"/>
      <c r="E102" s="10"/>
      <c r="F102" s="15"/>
      <c r="G102" s="17" t="s">
        <v>200</v>
      </c>
      <c r="H102" s="17" t="n">
        <v>175364</v>
      </c>
    </row>
    <row r="103" customFormat="false" ht="15" hidden="false" customHeight="false" outlineLevel="0" collapsed="false">
      <c r="A103" s="18" t="n">
        <v>16</v>
      </c>
      <c r="B103" s="19"/>
      <c r="C103" s="18" t="s">
        <v>53</v>
      </c>
      <c r="D103" s="13"/>
      <c r="E103" s="13"/>
      <c r="F103" s="18"/>
      <c r="G103" s="20" t="s">
        <v>201</v>
      </c>
      <c r="H103" s="20" t="n">
        <v>175364</v>
      </c>
    </row>
    <row r="104" customFormat="false" ht="15" hidden="false" customHeight="false" outlineLevel="0" collapsed="false">
      <c r="A104" s="18" t="n">
        <v>16</v>
      </c>
      <c r="B104" s="19"/>
      <c r="C104" s="18" t="s">
        <v>55</v>
      </c>
      <c r="D104" s="13"/>
      <c r="E104" s="13"/>
      <c r="F104" s="18"/>
      <c r="G104" s="20" t="s">
        <v>202</v>
      </c>
      <c r="H104" s="20" t="n">
        <v>175364</v>
      </c>
    </row>
    <row r="105" customFormat="false" ht="15" hidden="false" customHeight="false" outlineLevel="0" collapsed="false">
      <c r="A105" s="18" t="n">
        <v>16</v>
      </c>
      <c r="B105" s="19"/>
      <c r="C105" s="18" t="s">
        <v>57</v>
      </c>
      <c r="D105" s="13"/>
      <c r="E105" s="13"/>
      <c r="F105" s="18"/>
      <c r="G105" s="20" t="s">
        <v>203</v>
      </c>
      <c r="H105" s="20" t="n">
        <v>175364</v>
      </c>
    </row>
    <row r="106" customFormat="false" ht="15" hidden="false" customHeight="false" outlineLevel="0" collapsed="false">
      <c r="A106" s="18" t="n">
        <v>16</v>
      </c>
      <c r="B106" s="19"/>
      <c r="C106" s="18" t="s">
        <v>59</v>
      </c>
      <c r="D106" s="13"/>
      <c r="E106" s="13"/>
      <c r="F106" s="18"/>
      <c r="G106" s="20" t="s">
        <v>204</v>
      </c>
      <c r="H106" s="20" t="n">
        <v>175364</v>
      </c>
    </row>
    <row r="107" customFormat="false" ht="15" hidden="false" customHeight="false" outlineLevel="0" collapsed="false">
      <c r="A107" s="18" t="n">
        <v>16</v>
      </c>
      <c r="B107" s="19"/>
      <c r="C107" s="18" t="s">
        <v>205</v>
      </c>
      <c r="D107" s="13"/>
      <c r="E107" s="13"/>
      <c r="F107" s="18"/>
      <c r="G107" s="20" t="s">
        <v>206</v>
      </c>
      <c r="H107" s="20" t="n">
        <v>175364</v>
      </c>
    </row>
    <row r="108" customFormat="false" ht="15" hidden="false" customHeight="false" outlineLevel="0" collapsed="false">
      <c r="A108" s="18" t="n">
        <v>16</v>
      </c>
      <c r="B108" s="19"/>
      <c r="C108" s="18" t="s">
        <v>90</v>
      </c>
      <c r="D108" s="13"/>
      <c r="E108" s="13"/>
      <c r="F108" s="18"/>
      <c r="G108" s="20" t="s">
        <v>207</v>
      </c>
      <c r="H108" s="20" t="n">
        <v>175364</v>
      </c>
    </row>
    <row r="109" customFormat="false" ht="15" hidden="false" customHeight="false" outlineLevel="0" collapsed="false">
      <c r="A109" s="18" t="n">
        <v>16</v>
      </c>
      <c r="B109" s="19"/>
      <c r="C109" s="18" t="s">
        <v>208</v>
      </c>
      <c r="D109" s="13"/>
      <c r="E109" s="13"/>
      <c r="F109" s="18"/>
      <c r="G109" s="20" t="s">
        <v>209</v>
      </c>
      <c r="H109" s="20" t="n">
        <v>175364</v>
      </c>
    </row>
    <row r="110" customFormat="false" ht="15" hidden="false" customHeight="false" outlineLevel="0" collapsed="false">
      <c r="A110" s="18" t="n">
        <v>16</v>
      </c>
      <c r="B110" s="19"/>
      <c r="C110" s="18" t="s">
        <v>210</v>
      </c>
      <c r="D110" s="13"/>
      <c r="E110" s="13"/>
      <c r="F110" s="18"/>
      <c r="G110" s="20" t="s">
        <v>211</v>
      </c>
      <c r="H110" s="20" t="n">
        <v>175364</v>
      </c>
    </row>
    <row r="111" customFormat="false" ht="15" hidden="false" customHeight="false" outlineLevel="0" collapsed="false">
      <c r="A111" s="18" t="n">
        <v>16</v>
      </c>
      <c r="B111" s="19"/>
      <c r="C111" s="18" t="s">
        <v>212</v>
      </c>
      <c r="D111" s="13"/>
      <c r="E111" s="13"/>
      <c r="F111" s="18"/>
      <c r="G111" s="20" t="s">
        <v>213</v>
      </c>
      <c r="H111" s="20" t="n">
        <v>175364</v>
      </c>
    </row>
    <row r="112" customFormat="false" ht="15" hidden="false" customHeight="false" outlineLevel="0" collapsed="false">
      <c r="A112" s="18" t="n">
        <v>16</v>
      </c>
      <c r="B112" s="19"/>
      <c r="C112" s="18" t="s">
        <v>214</v>
      </c>
      <c r="D112" s="13"/>
      <c r="E112" s="13"/>
      <c r="F112" s="18"/>
      <c r="G112" s="20" t="s">
        <v>215</v>
      </c>
      <c r="H112" s="20" t="n">
        <v>175364</v>
      </c>
    </row>
    <row r="113" customFormat="false" ht="15" hidden="false" customHeight="false" outlineLevel="0" collapsed="false">
      <c r="A113" s="18" t="n">
        <v>16</v>
      </c>
      <c r="B113" s="19"/>
      <c r="C113" s="18" t="s">
        <v>216</v>
      </c>
      <c r="D113" s="13"/>
      <c r="E113" s="13"/>
      <c r="F113" s="18"/>
      <c r="G113" s="20" t="s">
        <v>217</v>
      </c>
      <c r="H113" s="20" t="n">
        <v>175364</v>
      </c>
    </row>
    <row r="114" customFormat="false" ht="15" hidden="false" customHeight="false" outlineLevel="0" collapsed="false">
      <c r="A114" s="18" t="n">
        <v>16</v>
      </c>
      <c r="B114" s="19"/>
      <c r="C114" s="18" t="s">
        <v>36</v>
      </c>
      <c r="D114" s="13"/>
      <c r="E114" s="13"/>
      <c r="F114" s="18"/>
      <c r="G114" s="20" t="s">
        <v>218</v>
      </c>
      <c r="H114" s="20" t="n">
        <v>175364</v>
      </c>
    </row>
    <row r="115" customFormat="false" ht="15" hidden="false" customHeight="false" outlineLevel="0" collapsed="false">
      <c r="A115" s="18" t="n">
        <v>16</v>
      </c>
      <c r="B115" s="19"/>
      <c r="C115" s="18" t="s">
        <v>219</v>
      </c>
      <c r="D115" s="13"/>
      <c r="E115" s="13"/>
      <c r="F115" s="18"/>
      <c r="G115" s="20" t="s">
        <v>220</v>
      </c>
      <c r="H115" s="20" t="n">
        <v>175364</v>
      </c>
    </row>
    <row r="116" customFormat="false" ht="15" hidden="false" customHeight="false" outlineLevel="0" collapsed="false">
      <c r="A116" s="18" t="n">
        <v>16</v>
      </c>
      <c r="B116" s="19"/>
      <c r="C116" s="18" t="s">
        <v>64</v>
      </c>
      <c r="D116" s="13"/>
      <c r="E116" s="13"/>
      <c r="F116" s="18"/>
      <c r="G116" s="20" t="s">
        <v>221</v>
      </c>
      <c r="H116" s="20" t="n">
        <v>175364</v>
      </c>
    </row>
    <row r="117" customFormat="false" ht="15" hidden="false" customHeight="false" outlineLevel="0" collapsed="false">
      <c r="A117" s="18" t="n">
        <v>16</v>
      </c>
      <c r="B117" s="19"/>
      <c r="C117" s="18" t="s">
        <v>222</v>
      </c>
      <c r="D117" s="13"/>
      <c r="E117" s="13"/>
      <c r="F117" s="18"/>
      <c r="G117" s="20" t="s">
        <v>223</v>
      </c>
      <c r="H117" s="20" t="n">
        <v>175364</v>
      </c>
    </row>
    <row r="118" customFormat="false" ht="15" hidden="false" customHeight="false" outlineLevel="0" collapsed="false">
      <c r="A118" s="18" t="n">
        <v>16</v>
      </c>
      <c r="B118" s="19"/>
      <c r="C118" s="18" t="s">
        <v>70</v>
      </c>
      <c r="D118" s="13"/>
      <c r="E118" s="13"/>
      <c r="F118" s="18"/>
      <c r="G118" s="20" t="s">
        <v>224</v>
      </c>
      <c r="H118" s="20" t="n">
        <v>175364</v>
      </c>
    </row>
    <row r="119" customFormat="false" ht="15" hidden="false" customHeight="false" outlineLevel="0" collapsed="false">
      <c r="A119" s="18" t="n">
        <v>16</v>
      </c>
      <c r="B119" s="19"/>
      <c r="C119" s="18" t="s">
        <v>72</v>
      </c>
      <c r="D119" s="13"/>
      <c r="E119" s="13"/>
      <c r="F119" s="18"/>
      <c r="G119" s="20" t="s">
        <v>225</v>
      </c>
      <c r="H119" s="20" t="n">
        <v>175364</v>
      </c>
    </row>
    <row r="120" customFormat="false" ht="15" hidden="false" customHeight="false" outlineLevel="0" collapsed="false">
      <c r="A120" s="18" t="n">
        <v>16</v>
      </c>
      <c r="B120" s="19"/>
      <c r="C120" s="18" t="s">
        <v>226</v>
      </c>
      <c r="D120" s="13"/>
      <c r="E120" s="13"/>
      <c r="F120" s="18"/>
      <c r="G120" s="20" t="s">
        <v>227</v>
      </c>
      <c r="H120" s="20" t="n">
        <v>175364</v>
      </c>
    </row>
    <row r="121" customFormat="false" ht="15" hidden="false" customHeight="false" outlineLevel="0" collapsed="false">
      <c r="A121" s="18" t="n">
        <v>16</v>
      </c>
      <c r="B121" s="19"/>
      <c r="C121" s="18" t="s">
        <v>228</v>
      </c>
      <c r="D121" s="13"/>
      <c r="E121" s="13"/>
      <c r="F121" s="18"/>
      <c r="G121" s="20" t="s">
        <v>229</v>
      </c>
      <c r="H121" s="20" t="n">
        <v>175364</v>
      </c>
    </row>
    <row r="122" customFormat="false" ht="15" hidden="false" customHeight="false" outlineLevel="0" collapsed="false">
      <c r="A122" s="18" t="n">
        <v>16</v>
      </c>
      <c r="B122" s="19"/>
      <c r="C122" s="18" t="s">
        <v>112</v>
      </c>
      <c r="D122" s="13"/>
      <c r="E122" s="13"/>
      <c r="F122" s="18"/>
      <c r="G122" s="20" t="s">
        <v>230</v>
      </c>
      <c r="H122" s="20" t="n">
        <v>175364</v>
      </c>
    </row>
    <row r="123" customFormat="false" ht="15" hidden="false" customHeight="false" outlineLevel="0" collapsed="false">
      <c r="A123" s="18" t="n">
        <v>16</v>
      </c>
      <c r="B123" s="19"/>
      <c r="C123" s="18" t="s">
        <v>231</v>
      </c>
      <c r="D123" s="13"/>
      <c r="E123" s="13"/>
      <c r="F123" s="18"/>
      <c r="G123" s="20" t="s">
        <v>232</v>
      </c>
      <c r="H123" s="20" t="n">
        <v>175364</v>
      </c>
    </row>
    <row r="124" customFormat="false" ht="15" hidden="false" customHeight="false" outlineLevel="0" collapsed="false">
      <c r="A124" s="8" t="n">
        <v>19</v>
      </c>
      <c r="B124" s="9" t="s">
        <v>47</v>
      </c>
      <c r="C124" s="8" t="s">
        <v>48</v>
      </c>
      <c r="D124" s="10"/>
      <c r="E124" s="10"/>
      <c r="F124" s="8"/>
      <c r="G124" s="11" t="s">
        <v>233</v>
      </c>
      <c r="H124" s="11" t="n">
        <v>195754</v>
      </c>
    </row>
    <row r="125" customFormat="false" ht="15" hidden="false" customHeight="false" outlineLevel="0" collapsed="false">
      <c r="A125" s="12" t="n">
        <v>19</v>
      </c>
      <c r="C125" s="12" t="s">
        <v>234</v>
      </c>
      <c r="D125" s="13"/>
      <c r="E125" s="13"/>
      <c r="F125" s="12"/>
      <c r="G125" s="14" t="s">
        <v>235</v>
      </c>
      <c r="H125" s="14" t="n">
        <v>195754</v>
      </c>
    </row>
    <row r="126" customFormat="false" ht="15" hidden="false" customHeight="false" outlineLevel="0" collapsed="false">
      <c r="A126" s="12" t="n">
        <v>19</v>
      </c>
      <c r="C126" s="12" t="s">
        <v>53</v>
      </c>
      <c r="D126" s="13"/>
      <c r="E126" s="13"/>
      <c r="F126" s="12"/>
      <c r="G126" s="14" t="s">
        <v>236</v>
      </c>
      <c r="H126" s="14" t="n">
        <v>195754</v>
      </c>
    </row>
    <row r="127" customFormat="false" ht="15" hidden="false" customHeight="false" outlineLevel="0" collapsed="false">
      <c r="A127" s="12" t="n">
        <v>19</v>
      </c>
      <c r="C127" s="12" t="s">
        <v>55</v>
      </c>
      <c r="D127" s="13"/>
      <c r="E127" s="13"/>
      <c r="F127" s="12"/>
      <c r="G127" s="14" t="s">
        <v>237</v>
      </c>
      <c r="H127" s="14" t="n">
        <v>195754</v>
      </c>
    </row>
    <row r="128" customFormat="false" ht="15" hidden="false" customHeight="false" outlineLevel="0" collapsed="false">
      <c r="A128" s="12" t="n">
        <v>19</v>
      </c>
      <c r="C128" s="12" t="s">
        <v>57</v>
      </c>
      <c r="D128" s="13"/>
      <c r="E128" s="13"/>
      <c r="F128" s="12"/>
      <c r="G128" s="14" t="s">
        <v>238</v>
      </c>
      <c r="H128" s="14" t="n">
        <v>195754</v>
      </c>
    </row>
    <row r="129" customFormat="false" ht="15" hidden="false" customHeight="false" outlineLevel="0" collapsed="false">
      <c r="A129" s="12" t="n">
        <v>19</v>
      </c>
      <c r="C129" s="12" t="s">
        <v>59</v>
      </c>
      <c r="D129" s="13"/>
      <c r="E129" s="13"/>
      <c r="F129" s="12"/>
      <c r="G129" s="14" t="s">
        <v>239</v>
      </c>
      <c r="H129" s="14" t="n">
        <v>195754</v>
      </c>
    </row>
    <row r="130" customFormat="false" ht="15" hidden="false" customHeight="false" outlineLevel="0" collapsed="false">
      <c r="A130" s="12" t="n">
        <v>19</v>
      </c>
      <c r="C130" s="12" t="s">
        <v>240</v>
      </c>
      <c r="D130" s="13"/>
      <c r="E130" s="13"/>
      <c r="F130" s="12"/>
      <c r="G130" s="14" t="s">
        <v>241</v>
      </c>
      <c r="H130" s="14" t="n">
        <v>195754</v>
      </c>
    </row>
    <row r="131" customFormat="false" ht="15" hidden="false" customHeight="false" outlineLevel="0" collapsed="false">
      <c r="A131" s="12" t="n">
        <v>19</v>
      </c>
      <c r="C131" s="12" t="s">
        <v>242</v>
      </c>
      <c r="D131" s="13"/>
      <c r="E131" s="13"/>
      <c r="F131" s="12"/>
      <c r="G131" s="14" t="s">
        <v>243</v>
      </c>
      <c r="H131" s="14" t="n">
        <v>195754</v>
      </c>
    </row>
    <row r="132" customFormat="false" ht="15" hidden="false" customHeight="false" outlineLevel="0" collapsed="false">
      <c r="A132" s="12" t="n">
        <v>19</v>
      </c>
      <c r="C132" s="12" t="s">
        <v>244</v>
      </c>
      <c r="D132" s="13"/>
      <c r="E132" s="13"/>
      <c r="F132" s="12"/>
      <c r="G132" s="14" t="s">
        <v>245</v>
      </c>
      <c r="H132" s="14" t="n">
        <v>195754</v>
      </c>
    </row>
    <row r="133" customFormat="false" ht="15" hidden="false" customHeight="false" outlineLevel="0" collapsed="false">
      <c r="A133" s="12" t="n">
        <v>19</v>
      </c>
      <c r="C133" s="12" t="s">
        <v>246</v>
      </c>
      <c r="D133" s="13"/>
      <c r="E133" s="13"/>
      <c r="F133" s="12"/>
      <c r="G133" s="14" t="s">
        <v>247</v>
      </c>
      <c r="H133" s="14" t="n">
        <v>195754</v>
      </c>
    </row>
    <row r="134" customFormat="false" ht="15" hidden="false" customHeight="false" outlineLevel="0" collapsed="false">
      <c r="A134" s="12" t="n">
        <v>19</v>
      </c>
      <c r="C134" s="12" t="s">
        <v>248</v>
      </c>
      <c r="D134" s="13"/>
      <c r="E134" s="13"/>
      <c r="F134" s="12"/>
      <c r="G134" s="14" t="s">
        <v>249</v>
      </c>
      <c r="H134" s="14" t="n">
        <v>195754</v>
      </c>
    </row>
    <row r="135" customFormat="false" ht="15" hidden="false" customHeight="false" outlineLevel="0" collapsed="false">
      <c r="A135" s="12" t="n">
        <v>19</v>
      </c>
      <c r="C135" s="12" t="s">
        <v>250</v>
      </c>
      <c r="D135" s="13"/>
      <c r="E135" s="13"/>
      <c r="F135" s="12"/>
      <c r="G135" s="14" t="s">
        <v>251</v>
      </c>
      <c r="H135" s="14" t="n">
        <v>195754</v>
      </c>
    </row>
    <row r="136" customFormat="false" ht="15" hidden="false" customHeight="false" outlineLevel="0" collapsed="false">
      <c r="A136" s="12" t="n">
        <v>19</v>
      </c>
      <c r="C136" s="12" t="s">
        <v>252</v>
      </c>
      <c r="D136" s="13"/>
      <c r="E136" s="13"/>
      <c r="F136" s="12"/>
      <c r="G136" s="14" t="s">
        <v>253</v>
      </c>
      <c r="H136" s="14" t="n">
        <v>195754</v>
      </c>
    </row>
    <row r="137" customFormat="false" ht="15" hidden="false" customHeight="false" outlineLevel="0" collapsed="false">
      <c r="A137" s="12" t="n">
        <v>19</v>
      </c>
      <c r="C137" s="12" t="s">
        <v>36</v>
      </c>
      <c r="D137" s="13"/>
      <c r="E137" s="13"/>
      <c r="F137" s="12"/>
      <c r="G137" s="14" t="s">
        <v>254</v>
      </c>
      <c r="H137" s="14" t="n">
        <v>195754</v>
      </c>
    </row>
    <row r="138" customFormat="false" ht="15" hidden="false" customHeight="false" outlineLevel="0" collapsed="false">
      <c r="A138" s="12" t="n">
        <v>19</v>
      </c>
      <c r="C138" s="12" t="s">
        <v>255</v>
      </c>
      <c r="D138" s="13"/>
      <c r="E138" s="13"/>
      <c r="F138" s="12"/>
      <c r="G138" s="14" t="s">
        <v>256</v>
      </c>
      <c r="H138" s="14" t="n">
        <v>195754</v>
      </c>
    </row>
    <row r="139" customFormat="false" ht="15" hidden="false" customHeight="false" outlineLevel="0" collapsed="false">
      <c r="A139" s="12" t="n">
        <v>19</v>
      </c>
      <c r="C139" s="12" t="s">
        <v>64</v>
      </c>
      <c r="D139" s="13"/>
      <c r="E139" s="13"/>
      <c r="F139" s="12"/>
      <c r="G139" s="14" t="s">
        <v>257</v>
      </c>
      <c r="H139" s="14" t="n">
        <v>195754</v>
      </c>
    </row>
    <row r="140" customFormat="false" ht="15" hidden="false" customHeight="false" outlineLevel="0" collapsed="false">
      <c r="A140" s="12" t="n">
        <v>19</v>
      </c>
      <c r="C140" s="12" t="s">
        <v>258</v>
      </c>
      <c r="D140" s="13"/>
      <c r="E140" s="13"/>
      <c r="F140" s="12"/>
      <c r="G140" s="14" t="s">
        <v>259</v>
      </c>
      <c r="H140" s="14" t="n">
        <v>195754</v>
      </c>
    </row>
    <row r="141" customFormat="false" ht="15" hidden="false" customHeight="false" outlineLevel="0" collapsed="false">
      <c r="A141" s="12" t="n">
        <v>19</v>
      </c>
      <c r="C141" s="12" t="s">
        <v>70</v>
      </c>
      <c r="D141" s="13"/>
      <c r="E141" s="13"/>
      <c r="F141" s="12"/>
      <c r="G141" s="14" t="s">
        <v>260</v>
      </c>
      <c r="H141" s="14" t="n">
        <v>195754</v>
      </c>
    </row>
    <row r="142" customFormat="false" ht="15" hidden="false" customHeight="false" outlineLevel="0" collapsed="false">
      <c r="A142" s="12" t="n">
        <v>19</v>
      </c>
      <c r="C142" s="12" t="s">
        <v>72</v>
      </c>
      <c r="D142" s="13"/>
      <c r="E142" s="13"/>
      <c r="F142" s="12"/>
      <c r="G142" s="14" t="s">
        <v>261</v>
      </c>
      <c r="H142" s="14" t="n">
        <v>195754</v>
      </c>
    </row>
    <row r="143" customFormat="false" ht="15" hidden="false" customHeight="false" outlineLevel="0" collapsed="false">
      <c r="A143" s="12" t="n">
        <v>19</v>
      </c>
      <c r="C143" s="12" t="s">
        <v>262</v>
      </c>
      <c r="D143" s="13"/>
      <c r="E143" s="13"/>
      <c r="F143" s="12"/>
      <c r="G143" s="14" t="s">
        <v>263</v>
      </c>
      <c r="H143" s="14" t="n">
        <v>195754</v>
      </c>
    </row>
    <row r="144" customFormat="false" ht="15" hidden="false" customHeight="false" outlineLevel="0" collapsed="false">
      <c r="A144" s="12" t="n">
        <v>19</v>
      </c>
      <c r="C144" s="12" t="s">
        <v>264</v>
      </c>
      <c r="D144" s="13"/>
      <c r="E144" s="13"/>
      <c r="F144" s="12"/>
      <c r="G144" s="14" t="s">
        <v>265</v>
      </c>
      <c r="H144" s="14" t="n">
        <v>195754</v>
      </c>
    </row>
    <row r="145" customFormat="false" ht="15" hidden="false" customHeight="false" outlineLevel="0" collapsed="false">
      <c r="A145" s="12" t="n">
        <v>19</v>
      </c>
      <c r="C145" s="12" t="s">
        <v>266</v>
      </c>
      <c r="D145" s="13"/>
      <c r="E145" s="13"/>
      <c r="F145" s="12"/>
      <c r="G145" s="14" t="s">
        <v>267</v>
      </c>
      <c r="H145" s="14" t="n">
        <v>195754</v>
      </c>
    </row>
    <row r="146" customFormat="false" ht="15" hidden="false" customHeight="false" outlineLevel="0" collapsed="false">
      <c r="A146" s="12" t="n">
        <v>19</v>
      </c>
      <c r="C146" s="12" t="s">
        <v>166</v>
      </c>
      <c r="D146" s="13"/>
      <c r="E146" s="13"/>
      <c r="F146" s="12"/>
      <c r="G146" s="14" t="s">
        <v>268</v>
      </c>
      <c r="H146" s="14" t="n">
        <v>195754</v>
      </c>
    </row>
    <row r="147" customFormat="false" ht="15" hidden="false" customHeight="false" outlineLevel="0" collapsed="false">
      <c r="A147" s="15" t="n">
        <v>22</v>
      </c>
      <c r="B147" s="16" t="s">
        <v>47</v>
      </c>
      <c r="C147" s="15" t="s">
        <v>48</v>
      </c>
      <c r="D147" s="10"/>
      <c r="E147" s="10"/>
      <c r="F147" s="15"/>
      <c r="G147" s="17" t="s">
        <v>269</v>
      </c>
      <c r="H147" s="17" t="n">
        <v>227985</v>
      </c>
    </row>
    <row r="148" customFormat="false" ht="15" hidden="false" customHeight="false" outlineLevel="0" collapsed="false">
      <c r="A148" s="18" t="n">
        <v>22</v>
      </c>
      <c r="B148" s="19"/>
      <c r="C148" s="18" t="s">
        <v>53</v>
      </c>
      <c r="D148" s="13"/>
      <c r="E148" s="13"/>
      <c r="F148" s="18"/>
      <c r="G148" s="20" t="s">
        <v>270</v>
      </c>
      <c r="H148" s="20" t="n">
        <v>227985</v>
      </c>
    </row>
    <row r="149" customFormat="false" ht="15" hidden="false" customHeight="false" outlineLevel="0" collapsed="false">
      <c r="A149" s="18" t="n">
        <v>22</v>
      </c>
      <c r="B149" s="19"/>
      <c r="C149" s="18" t="s">
        <v>55</v>
      </c>
      <c r="D149" s="13"/>
      <c r="E149" s="13"/>
      <c r="F149" s="18"/>
      <c r="G149" s="20" t="s">
        <v>271</v>
      </c>
      <c r="H149" s="20" t="n">
        <v>227985</v>
      </c>
    </row>
    <row r="150" customFormat="false" ht="15" hidden="false" customHeight="false" outlineLevel="0" collapsed="false">
      <c r="A150" s="18" t="n">
        <v>22</v>
      </c>
      <c r="B150" s="19"/>
      <c r="C150" s="18" t="s">
        <v>57</v>
      </c>
      <c r="D150" s="13"/>
      <c r="E150" s="13"/>
      <c r="F150" s="18"/>
      <c r="G150" s="20" t="s">
        <v>272</v>
      </c>
      <c r="H150" s="20" t="n">
        <v>227985</v>
      </c>
    </row>
    <row r="151" customFormat="false" ht="15" hidden="false" customHeight="false" outlineLevel="0" collapsed="false">
      <c r="A151" s="18" t="n">
        <v>22</v>
      </c>
      <c r="B151" s="19"/>
      <c r="C151" s="18" t="s">
        <v>172</v>
      </c>
      <c r="D151" s="13"/>
      <c r="E151" s="13"/>
      <c r="F151" s="18"/>
      <c r="G151" s="20" t="s">
        <v>273</v>
      </c>
      <c r="H151" s="20" t="n">
        <v>227985</v>
      </c>
    </row>
    <row r="152" customFormat="false" ht="15" hidden="false" customHeight="false" outlineLevel="0" collapsed="false">
      <c r="A152" s="18" t="n">
        <v>22</v>
      </c>
      <c r="B152" s="19"/>
      <c r="C152" s="18" t="s">
        <v>59</v>
      </c>
      <c r="D152" s="13"/>
      <c r="E152" s="13"/>
      <c r="F152" s="18"/>
      <c r="G152" s="20" t="s">
        <v>274</v>
      </c>
      <c r="H152" s="20" t="n">
        <v>227985</v>
      </c>
    </row>
    <row r="153" customFormat="false" ht="15" hidden="false" customHeight="false" outlineLevel="0" collapsed="false">
      <c r="A153" s="18" t="n">
        <v>22</v>
      </c>
      <c r="B153" s="19"/>
      <c r="C153" s="18" t="s">
        <v>90</v>
      </c>
      <c r="D153" s="13"/>
      <c r="E153" s="13"/>
      <c r="F153" s="18"/>
      <c r="G153" s="20" t="s">
        <v>275</v>
      </c>
      <c r="H153" s="20" t="n">
        <v>227985</v>
      </c>
    </row>
    <row r="154" customFormat="false" ht="15" hidden="false" customHeight="false" outlineLevel="0" collapsed="false">
      <c r="A154" s="18" t="n">
        <v>22</v>
      </c>
      <c r="B154" s="19"/>
      <c r="C154" s="18" t="s">
        <v>96</v>
      </c>
      <c r="D154" s="13"/>
      <c r="E154" s="13"/>
      <c r="F154" s="18"/>
      <c r="G154" s="20" t="s">
        <v>276</v>
      </c>
      <c r="H154" s="20" t="n">
        <v>227985</v>
      </c>
    </row>
    <row r="155" customFormat="false" ht="15" hidden="false" customHeight="false" outlineLevel="0" collapsed="false">
      <c r="A155" s="18" t="n">
        <v>22</v>
      </c>
      <c r="B155" s="19"/>
      <c r="C155" s="18" t="s">
        <v>277</v>
      </c>
      <c r="D155" s="13"/>
      <c r="E155" s="13"/>
      <c r="F155" s="18"/>
      <c r="G155" s="20" t="s">
        <v>278</v>
      </c>
      <c r="H155" s="20" t="n">
        <v>227985</v>
      </c>
    </row>
    <row r="156" customFormat="false" ht="15" hidden="false" customHeight="false" outlineLevel="0" collapsed="false">
      <c r="A156" s="18" t="n">
        <v>22</v>
      </c>
      <c r="B156" s="19"/>
      <c r="C156" s="18" t="s">
        <v>181</v>
      </c>
      <c r="D156" s="13"/>
      <c r="E156" s="13"/>
      <c r="F156" s="18"/>
      <c r="G156" s="20" t="s">
        <v>279</v>
      </c>
      <c r="H156" s="20" t="n">
        <v>227985</v>
      </c>
    </row>
    <row r="157" customFormat="false" ht="15" hidden="false" customHeight="false" outlineLevel="0" collapsed="false">
      <c r="A157" s="18" t="n">
        <v>22</v>
      </c>
      <c r="B157" s="19"/>
      <c r="C157" s="18" t="s">
        <v>36</v>
      </c>
      <c r="D157" s="13"/>
      <c r="E157" s="13"/>
      <c r="F157" s="18"/>
      <c r="G157" s="20" t="s">
        <v>280</v>
      </c>
      <c r="H157" s="20" t="n">
        <v>227985</v>
      </c>
    </row>
    <row r="158" customFormat="false" ht="15" hidden="false" customHeight="false" outlineLevel="0" collapsed="false">
      <c r="A158" s="18" t="n">
        <v>22</v>
      </c>
      <c r="B158" s="19"/>
      <c r="C158" s="18" t="s">
        <v>64</v>
      </c>
      <c r="D158" s="13"/>
      <c r="E158" s="13"/>
      <c r="F158" s="18"/>
      <c r="G158" s="20" t="s">
        <v>281</v>
      </c>
      <c r="H158" s="20" t="n">
        <v>227985</v>
      </c>
    </row>
    <row r="159" customFormat="false" ht="15" hidden="false" customHeight="false" outlineLevel="0" collapsed="false">
      <c r="A159" s="18" t="n">
        <v>22</v>
      </c>
      <c r="B159" s="19"/>
      <c r="C159" s="18" t="s">
        <v>282</v>
      </c>
      <c r="D159" s="13"/>
      <c r="E159" s="13"/>
      <c r="F159" s="18"/>
      <c r="G159" s="20" t="s">
        <v>283</v>
      </c>
      <c r="H159" s="20" t="n">
        <v>227985</v>
      </c>
    </row>
    <row r="160" customFormat="false" ht="15" hidden="false" customHeight="false" outlineLevel="0" collapsed="false">
      <c r="A160" s="18" t="n">
        <v>22</v>
      </c>
      <c r="B160" s="19"/>
      <c r="C160" s="18" t="s">
        <v>100</v>
      </c>
      <c r="D160" s="13"/>
      <c r="E160" s="13"/>
      <c r="F160" s="18"/>
      <c r="G160" s="20" t="s">
        <v>284</v>
      </c>
      <c r="H160" s="20" t="n">
        <v>227985</v>
      </c>
    </row>
    <row r="161" customFormat="false" ht="15" hidden="false" customHeight="false" outlineLevel="0" collapsed="false">
      <c r="A161" s="18" t="n">
        <v>22</v>
      </c>
      <c r="B161" s="19"/>
      <c r="C161" s="18" t="s">
        <v>285</v>
      </c>
      <c r="D161" s="13"/>
      <c r="E161" s="13"/>
      <c r="F161" s="18"/>
      <c r="G161" s="20" t="s">
        <v>286</v>
      </c>
      <c r="H161" s="20" t="n">
        <v>227985</v>
      </c>
    </row>
    <row r="162" customFormat="false" ht="15" hidden="false" customHeight="false" outlineLevel="0" collapsed="false">
      <c r="A162" s="18" t="n">
        <v>22</v>
      </c>
      <c r="B162" s="19"/>
      <c r="C162" s="18" t="s">
        <v>104</v>
      </c>
      <c r="D162" s="13"/>
      <c r="E162" s="13"/>
      <c r="F162" s="18"/>
      <c r="G162" s="20" t="s">
        <v>287</v>
      </c>
      <c r="H162" s="20" t="n">
        <v>227985</v>
      </c>
    </row>
    <row r="163" customFormat="false" ht="15" hidden="false" customHeight="false" outlineLevel="0" collapsed="false">
      <c r="A163" s="18" t="n">
        <v>22</v>
      </c>
      <c r="B163" s="19"/>
      <c r="C163" s="18" t="s">
        <v>70</v>
      </c>
      <c r="D163" s="13"/>
      <c r="E163" s="13"/>
      <c r="F163" s="18"/>
      <c r="G163" s="20" t="s">
        <v>288</v>
      </c>
      <c r="H163" s="20" t="n">
        <v>227985</v>
      </c>
    </row>
    <row r="164" customFormat="false" ht="15" hidden="false" customHeight="false" outlineLevel="0" collapsed="false">
      <c r="A164" s="18" t="n">
        <v>22</v>
      </c>
      <c r="B164" s="19"/>
      <c r="C164" s="18" t="s">
        <v>72</v>
      </c>
      <c r="D164" s="13"/>
      <c r="E164" s="13"/>
      <c r="F164" s="18"/>
      <c r="G164" s="20" t="s">
        <v>289</v>
      </c>
      <c r="H164" s="20" t="n">
        <v>227985</v>
      </c>
    </row>
    <row r="165" customFormat="false" ht="15" hidden="false" customHeight="false" outlineLevel="0" collapsed="false">
      <c r="A165" s="18" t="n">
        <v>22</v>
      </c>
      <c r="B165" s="19"/>
      <c r="C165" s="18" t="s">
        <v>290</v>
      </c>
      <c r="D165" s="13"/>
      <c r="E165" s="13"/>
      <c r="F165" s="18"/>
      <c r="G165" s="20" t="s">
        <v>291</v>
      </c>
      <c r="H165" s="20" t="n">
        <v>227985</v>
      </c>
    </row>
    <row r="166" customFormat="false" ht="15" hidden="false" customHeight="false" outlineLevel="0" collapsed="false">
      <c r="A166" s="8" t="n">
        <v>25</v>
      </c>
      <c r="B166" s="9" t="s">
        <v>47</v>
      </c>
      <c r="C166" s="8" t="s">
        <v>48</v>
      </c>
      <c r="D166" s="10"/>
      <c r="E166" s="10"/>
      <c r="F166" s="8"/>
      <c r="G166" s="11" t="s">
        <v>292</v>
      </c>
      <c r="H166" s="11" t="n">
        <v>242610</v>
      </c>
    </row>
    <row r="167" customFormat="false" ht="15" hidden="false" customHeight="false" outlineLevel="0" collapsed="false">
      <c r="A167" s="12" t="n">
        <v>25</v>
      </c>
      <c r="C167" s="12" t="s">
        <v>53</v>
      </c>
      <c r="D167" s="13"/>
      <c r="E167" s="13"/>
      <c r="F167" s="12"/>
      <c r="G167" s="14" t="s">
        <v>293</v>
      </c>
      <c r="H167" s="14" t="n">
        <v>242610</v>
      </c>
    </row>
    <row r="168" customFormat="false" ht="15" hidden="false" customHeight="false" outlineLevel="0" collapsed="false">
      <c r="A168" s="12" t="n">
        <v>25</v>
      </c>
      <c r="C168" s="12" t="s">
        <v>294</v>
      </c>
      <c r="D168" s="13"/>
      <c r="E168" s="13"/>
      <c r="F168" s="12"/>
      <c r="G168" s="14" t="s">
        <v>295</v>
      </c>
      <c r="H168" s="14" t="n">
        <v>242610</v>
      </c>
    </row>
    <row r="169" customFormat="false" ht="15" hidden="false" customHeight="false" outlineLevel="0" collapsed="false">
      <c r="A169" s="12" t="n">
        <v>25</v>
      </c>
      <c r="C169" s="12" t="s">
        <v>120</v>
      </c>
      <c r="D169" s="13"/>
      <c r="E169" s="13"/>
      <c r="F169" s="12"/>
      <c r="G169" s="14" t="s">
        <v>296</v>
      </c>
      <c r="H169" s="14" t="n">
        <v>242610</v>
      </c>
    </row>
    <row r="170" customFormat="false" ht="15" hidden="false" customHeight="false" outlineLevel="0" collapsed="false">
      <c r="A170" s="12" t="n">
        <v>25</v>
      </c>
      <c r="C170" s="12" t="s">
        <v>57</v>
      </c>
      <c r="D170" s="13"/>
      <c r="E170" s="13"/>
      <c r="F170" s="12"/>
      <c r="G170" s="14" t="s">
        <v>297</v>
      </c>
      <c r="H170" s="14" t="n">
        <v>242610</v>
      </c>
    </row>
    <row r="171" customFormat="false" ht="15" hidden="false" customHeight="false" outlineLevel="0" collapsed="false">
      <c r="A171" s="12" t="n">
        <v>25</v>
      </c>
      <c r="C171" s="12" t="s">
        <v>129</v>
      </c>
      <c r="D171" s="13"/>
      <c r="E171" s="13"/>
      <c r="F171" s="12"/>
      <c r="G171" s="14" t="s">
        <v>298</v>
      </c>
      <c r="H171" s="14" t="n">
        <v>242610</v>
      </c>
    </row>
    <row r="172" customFormat="false" ht="15" hidden="false" customHeight="false" outlineLevel="0" collapsed="false">
      <c r="A172" s="12" t="n">
        <v>25</v>
      </c>
      <c r="C172" s="12" t="s">
        <v>59</v>
      </c>
      <c r="D172" s="13"/>
      <c r="E172" s="13"/>
      <c r="F172" s="12"/>
      <c r="G172" s="14" t="s">
        <v>299</v>
      </c>
      <c r="H172" s="14" t="n">
        <v>242610</v>
      </c>
    </row>
    <row r="173" customFormat="false" ht="15" hidden="false" customHeight="false" outlineLevel="0" collapsed="false">
      <c r="A173" s="12" t="n">
        <v>25</v>
      </c>
      <c r="C173" s="12" t="s">
        <v>300</v>
      </c>
      <c r="D173" s="13"/>
      <c r="E173" s="13"/>
      <c r="F173" s="12"/>
      <c r="G173" s="14" t="s">
        <v>301</v>
      </c>
      <c r="H173" s="14" t="n">
        <v>242610</v>
      </c>
    </row>
    <row r="174" customFormat="false" ht="15" hidden="false" customHeight="false" outlineLevel="0" collapsed="false">
      <c r="A174" s="12" t="n">
        <v>25</v>
      </c>
      <c r="C174" s="12" t="s">
        <v>302</v>
      </c>
      <c r="D174" s="13"/>
      <c r="E174" s="13"/>
      <c r="F174" s="12"/>
      <c r="G174" s="14" t="s">
        <v>303</v>
      </c>
      <c r="H174" s="14" t="n">
        <v>242610</v>
      </c>
    </row>
    <row r="175" customFormat="false" ht="15" hidden="false" customHeight="false" outlineLevel="0" collapsed="false">
      <c r="A175" s="12" t="n">
        <v>25</v>
      </c>
      <c r="C175" s="12" t="s">
        <v>304</v>
      </c>
      <c r="D175" s="13"/>
      <c r="E175" s="13"/>
      <c r="F175" s="12"/>
      <c r="G175" s="14" t="s">
        <v>305</v>
      </c>
      <c r="H175" s="14" t="n">
        <v>242610</v>
      </c>
    </row>
    <row r="176" customFormat="false" ht="15" hidden="false" customHeight="false" outlineLevel="0" collapsed="false">
      <c r="A176" s="12" t="n">
        <v>25</v>
      </c>
      <c r="C176" s="12" t="s">
        <v>306</v>
      </c>
      <c r="D176" s="13"/>
      <c r="E176" s="13"/>
      <c r="F176" s="12"/>
      <c r="G176" s="14" t="s">
        <v>307</v>
      </c>
      <c r="H176" s="14" t="n">
        <v>242610</v>
      </c>
    </row>
    <row r="177" customFormat="false" ht="15" hidden="false" customHeight="false" outlineLevel="0" collapsed="false">
      <c r="A177" s="12" t="n">
        <v>25</v>
      </c>
      <c r="C177" s="12" t="s">
        <v>36</v>
      </c>
      <c r="D177" s="13"/>
      <c r="E177" s="13"/>
      <c r="F177" s="12"/>
      <c r="G177" s="14" t="s">
        <v>308</v>
      </c>
      <c r="H177" s="14" t="n">
        <v>242610</v>
      </c>
    </row>
    <row r="178" customFormat="false" ht="15" hidden="false" customHeight="false" outlineLevel="0" collapsed="false">
      <c r="A178" s="12" t="n">
        <v>25</v>
      </c>
      <c r="C178" s="12" t="s">
        <v>64</v>
      </c>
      <c r="D178" s="13"/>
      <c r="E178" s="13"/>
      <c r="F178" s="12"/>
      <c r="G178" s="14" t="s">
        <v>309</v>
      </c>
      <c r="H178" s="14" t="n">
        <v>242610</v>
      </c>
    </row>
    <row r="179" customFormat="false" ht="15" hidden="false" customHeight="false" outlineLevel="0" collapsed="false">
      <c r="A179" s="12" t="n">
        <v>25</v>
      </c>
      <c r="C179" s="12" t="s">
        <v>310</v>
      </c>
      <c r="D179" s="13"/>
      <c r="E179" s="13"/>
      <c r="F179" s="12"/>
      <c r="G179" s="14" t="s">
        <v>311</v>
      </c>
      <c r="H179" s="14" t="n">
        <v>242610</v>
      </c>
    </row>
    <row r="180" customFormat="false" ht="15" hidden="false" customHeight="false" outlineLevel="0" collapsed="false">
      <c r="A180" s="12" t="n">
        <v>25</v>
      </c>
      <c r="C180" s="12" t="s">
        <v>140</v>
      </c>
      <c r="D180" s="13"/>
      <c r="E180" s="13"/>
      <c r="F180" s="12"/>
      <c r="G180" s="14" t="s">
        <v>312</v>
      </c>
      <c r="H180" s="14" t="n">
        <v>242610</v>
      </c>
    </row>
    <row r="181" customFormat="false" ht="15" hidden="false" customHeight="false" outlineLevel="0" collapsed="false">
      <c r="A181" s="12" t="n">
        <v>25</v>
      </c>
      <c r="C181" s="12" t="s">
        <v>258</v>
      </c>
      <c r="D181" s="13"/>
      <c r="E181" s="13"/>
      <c r="F181" s="12"/>
      <c r="G181" s="14" t="s">
        <v>313</v>
      </c>
      <c r="H181" s="14" t="n">
        <v>242610</v>
      </c>
    </row>
    <row r="182" customFormat="false" ht="15" hidden="false" customHeight="false" outlineLevel="0" collapsed="false">
      <c r="A182" s="12" t="n">
        <v>25</v>
      </c>
      <c r="C182" s="12" t="s">
        <v>314</v>
      </c>
      <c r="D182" s="13"/>
      <c r="E182" s="13"/>
      <c r="F182" s="12"/>
      <c r="G182" s="14" t="s">
        <v>315</v>
      </c>
      <c r="H182" s="14" t="n">
        <v>242610</v>
      </c>
    </row>
    <row r="183" customFormat="false" ht="15" hidden="false" customHeight="false" outlineLevel="0" collapsed="false">
      <c r="A183" s="12" t="n">
        <v>25</v>
      </c>
      <c r="C183" s="12" t="s">
        <v>316</v>
      </c>
      <c r="D183" s="13"/>
      <c r="E183" s="13"/>
      <c r="F183" s="12"/>
      <c r="G183" s="14" t="s">
        <v>317</v>
      </c>
      <c r="H183" s="14" t="n">
        <v>242610</v>
      </c>
    </row>
    <row r="184" customFormat="false" ht="15" hidden="false" customHeight="false" outlineLevel="0" collapsed="false">
      <c r="A184" s="12" t="n">
        <v>25</v>
      </c>
      <c r="C184" s="12" t="s">
        <v>70</v>
      </c>
      <c r="D184" s="13"/>
      <c r="E184" s="13"/>
      <c r="F184" s="12"/>
      <c r="G184" s="14" t="s">
        <v>318</v>
      </c>
      <c r="H184" s="14" t="n">
        <v>242610</v>
      </c>
    </row>
    <row r="185" customFormat="false" ht="15" hidden="false" customHeight="false" outlineLevel="0" collapsed="false">
      <c r="A185" s="12" t="n">
        <v>25</v>
      </c>
      <c r="C185" s="12" t="s">
        <v>72</v>
      </c>
      <c r="D185" s="13"/>
      <c r="E185" s="13"/>
      <c r="F185" s="12"/>
      <c r="G185" s="14" t="s">
        <v>319</v>
      </c>
      <c r="H185" s="14" t="n">
        <v>242610</v>
      </c>
    </row>
    <row r="186" customFormat="false" ht="15" hidden="false" customHeight="false" outlineLevel="0" collapsed="false">
      <c r="A186" s="12" t="n">
        <v>25</v>
      </c>
      <c r="C186" s="12" t="s">
        <v>320</v>
      </c>
      <c r="D186" s="13"/>
      <c r="E186" s="13"/>
      <c r="F186" s="12"/>
      <c r="G186" s="14" t="s">
        <v>321</v>
      </c>
      <c r="H186" s="14" t="n">
        <v>242610</v>
      </c>
    </row>
    <row r="187" customFormat="false" ht="15" hidden="false" customHeight="false" outlineLevel="0" collapsed="false">
      <c r="A187" s="15" t="n">
        <v>28</v>
      </c>
      <c r="B187" s="16" t="s">
        <v>47</v>
      </c>
      <c r="C187" s="15" t="s">
        <v>48</v>
      </c>
      <c r="D187" s="10"/>
      <c r="E187" s="10"/>
      <c r="F187" s="15"/>
      <c r="G187" s="17" t="s">
        <v>322</v>
      </c>
      <c r="H187" s="17" t="n">
        <v>264347</v>
      </c>
    </row>
    <row r="188" customFormat="false" ht="15" hidden="false" customHeight="false" outlineLevel="0" collapsed="false">
      <c r="A188" s="18" t="n">
        <v>28</v>
      </c>
      <c r="B188" s="19"/>
      <c r="C188" s="18" t="s">
        <v>53</v>
      </c>
      <c r="D188" s="13"/>
      <c r="E188" s="13"/>
      <c r="F188" s="18"/>
      <c r="G188" s="20" t="s">
        <v>323</v>
      </c>
      <c r="H188" s="20" t="n">
        <v>264347</v>
      </c>
    </row>
    <row r="189" customFormat="false" ht="15" hidden="false" customHeight="false" outlineLevel="0" collapsed="false">
      <c r="A189" s="18" t="n">
        <v>28</v>
      </c>
      <c r="B189" s="19"/>
      <c r="C189" s="18" t="s">
        <v>55</v>
      </c>
      <c r="D189" s="13"/>
      <c r="E189" s="13"/>
      <c r="F189" s="18"/>
      <c r="G189" s="20" t="s">
        <v>324</v>
      </c>
      <c r="H189" s="20" t="n">
        <v>264347</v>
      </c>
    </row>
    <row r="190" customFormat="false" ht="15" hidden="false" customHeight="false" outlineLevel="0" collapsed="false">
      <c r="A190" s="18" t="n">
        <v>28</v>
      </c>
      <c r="B190" s="19"/>
      <c r="C190" s="18" t="s">
        <v>57</v>
      </c>
      <c r="D190" s="13"/>
      <c r="E190" s="13"/>
      <c r="F190" s="18"/>
      <c r="G190" s="20" t="s">
        <v>325</v>
      </c>
      <c r="H190" s="20" t="n">
        <v>264347</v>
      </c>
    </row>
    <row r="191" customFormat="false" ht="15" hidden="false" customHeight="false" outlineLevel="0" collapsed="false">
      <c r="A191" s="18" t="n">
        <v>28</v>
      </c>
      <c r="B191" s="19"/>
      <c r="C191" s="18" t="s">
        <v>326</v>
      </c>
      <c r="D191" s="13"/>
      <c r="E191" s="13"/>
      <c r="F191" s="18"/>
      <c r="G191" s="20" t="s">
        <v>327</v>
      </c>
      <c r="H191" s="20" t="n">
        <v>264347</v>
      </c>
    </row>
    <row r="192" customFormat="false" ht="15" hidden="false" customHeight="false" outlineLevel="0" collapsed="false">
      <c r="A192" s="18" t="n">
        <v>28</v>
      </c>
      <c r="B192" s="19"/>
      <c r="C192" s="18" t="s">
        <v>59</v>
      </c>
      <c r="D192" s="13"/>
      <c r="E192" s="13"/>
      <c r="F192" s="18"/>
      <c r="G192" s="20" t="s">
        <v>328</v>
      </c>
      <c r="H192" s="20" t="n">
        <v>264347</v>
      </c>
    </row>
    <row r="193" customFormat="false" ht="15" hidden="false" customHeight="false" outlineLevel="0" collapsed="false">
      <c r="A193" s="18" t="n">
        <v>28</v>
      </c>
      <c r="B193" s="19"/>
      <c r="C193" s="18" t="s">
        <v>205</v>
      </c>
      <c r="D193" s="13"/>
      <c r="E193" s="13"/>
      <c r="F193" s="18"/>
      <c r="G193" s="20" t="s">
        <v>329</v>
      </c>
      <c r="H193" s="20" t="n">
        <v>264347</v>
      </c>
    </row>
    <row r="194" customFormat="false" ht="15" hidden="false" customHeight="false" outlineLevel="0" collapsed="false">
      <c r="A194" s="18" t="n">
        <v>28</v>
      </c>
      <c r="B194" s="19"/>
      <c r="C194" s="18" t="s">
        <v>330</v>
      </c>
      <c r="D194" s="13"/>
      <c r="E194" s="13"/>
      <c r="F194" s="18"/>
      <c r="G194" s="20" t="s">
        <v>331</v>
      </c>
      <c r="H194" s="20" t="n">
        <v>264347</v>
      </c>
    </row>
    <row r="195" customFormat="false" ht="15" hidden="false" customHeight="false" outlineLevel="0" collapsed="false">
      <c r="A195" s="18" t="n">
        <v>28</v>
      </c>
      <c r="B195" s="19"/>
      <c r="C195" s="18" t="s">
        <v>90</v>
      </c>
      <c r="D195" s="13"/>
      <c r="E195" s="13"/>
      <c r="F195" s="18"/>
      <c r="G195" s="20" t="s">
        <v>332</v>
      </c>
      <c r="H195" s="20" t="n">
        <v>264347</v>
      </c>
    </row>
    <row r="196" customFormat="false" ht="15" hidden="false" customHeight="false" outlineLevel="0" collapsed="false">
      <c r="A196" s="18" t="n">
        <v>28</v>
      </c>
      <c r="B196" s="19"/>
      <c r="C196" s="18" t="s">
        <v>208</v>
      </c>
      <c r="D196" s="13"/>
      <c r="E196" s="13"/>
      <c r="F196" s="18"/>
      <c r="G196" s="20" t="s">
        <v>333</v>
      </c>
      <c r="H196" s="20" t="n">
        <v>264347</v>
      </c>
    </row>
    <row r="197" customFormat="false" ht="15" hidden="false" customHeight="false" outlineLevel="0" collapsed="false">
      <c r="A197" s="18" t="n">
        <v>28</v>
      </c>
      <c r="B197" s="19"/>
      <c r="C197" s="18" t="s">
        <v>302</v>
      </c>
      <c r="D197" s="13"/>
      <c r="E197" s="13"/>
      <c r="F197" s="18"/>
      <c r="G197" s="20" t="s">
        <v>334</v>
      </c>
      <c r="H197" s="20" t="n">
        <v>264347</v>
      </c>
    </row>
    <row r="198" customFormat="false" ht="15" hidden="false" customHeight="false" outlineLevel="0" collapsed="false">
      <c r="A198" s="18" t="n">
        <v>28</v>
      </c>
      <c r="B198" s="19"/>
      <c r="C198" s="18" t="s">
        <v>61</v>
      </c>
      <c r="D198" s="13"/>
      <c r="E198" s="13"/>
      <c r="F198" s="18"/>
      <c r="G198" s="20" t="s">
        <v>335</v>
      </c>
      <c r="H198" s="20" t="n">
        <v>264347</v>
      </c>
    </row>
    <row r="199" customFormat="false" ht="15" hidden="false" customHeight="false" outlineLevel="0" collapsed="false">
      <c r="A199" s="18" t="n">
        <v>28</v>
      </c>
      <c r="B199" s="19"/>
      <c r="C199" s="18" t="s">
        <v>210</v>
      </c>
      <c r="D199" s="13"/>
      <c r="E199" s="13"/>
      <c r="F199" s="18"/>
      <c r="G199" s="20" t="s">
        <v>336</v>
      </c>
      <c r="H199" s="20" t="n">
        <v>264347</v>
      </c>
    </row>
    <row r="200" customFormat="false" ht="15" hidden="false" customHeight="false" outlineLevel="0" collapsed="false">
      <c r="A200" s="18" t="n">
        <v>28</v>
      </c>
      <c r="B200" s="19"/>
      <c r="C200" s="18" t="s">
        <v>337</v>
      </c>
      <c r="D200" s="13"/>
      <c r="E200" s="13"/>
      <c r="F200" s="18"/>
      <c r="G200" s="20" t="s">
        <v>338</v>
      </c>
      <c r="H200" s="20" t="n">
        <v>264347</v>
      </c>
    </row>
    <row r="201" customFormat="false" ht="15" hidden="false" customHeight="false" outlineLevel="0" collapsed="false">
      <c r="A201" s="18" t="n">
        <v>28</v>
      </c>
      <c r="B201" s="19"/>
      <c r="C201" s="18" t="s">
        <v>339</v>
      </c>
      <c r="D201" s="13"/>
      <c r="E201" s="13"/>
      <c r="F201" s="18"/>
      <c r="G201" s="20" t="s">
        <v>340</v>
      </c>
      <c r="H201" s="20" t="n">
        <v>264347</v>
      </c>
    </row>
    <row r="202" customFormat="false" ht="15" hidden="false" customHeight="false" outlineLevel="0" collapsed="false">
      <c r="A202" s="18" t="n">
        <v>28</v>
      </c>
      <c r="B202" s="19"/>
      <c r="C202" s="18" t="s">
        <v>216</v>
      </c>
      <c r="D202" s="13"/>
      <c r="E202" s="13"/>
      <c r="F202" s="18"/>
      <c r="G202" s="20" t="s">
        <v>341</v>
      </c>
      <c r="H202" s="20" t="n">
        <v>264347</v>
      </c>
    </row>
    <row r="203" customFormat="false" ht="15" hidden="false" customHeight="false" outlineLevel="0" collapsed="false">
      <c r="A203" s="18" t="n">
        <v>28</v>
      </c>
      <c r="B203" s="19"/>
      <c r="C203" s="18" t="s">
        <v>36</v>
      </c>
      <c r="D203" s="13"/>
      <c r="E203" s="13"/>
      <c r="F203" s="18"/>
      <c r="G203" s="20" t="s">
        <v>342</v>
      </c>
      <c r="H203" s="20" t="n">
        <v>264347</v>
      </c>
    </row>
    <row r="204" customFormat="false" ht="15" hidden="false" customHeight="false" outlineLevel="0" collapsed="false">
      <c r="A204" s="18" t="n">
        <v>28</v>
      </c>
      <c r="B204" s="19"/>
      <c r="C204" s="18" t="s">
        <v>219</v>
      </c>
      <c r="D204" s="13"/>
      <c r="E204" s="13"/>
      <c r="F204" s="18"/>
      <c r="G204" s="20" t="s">
        <v>343</v>
      </c>
      <c r="H204" s="20" t="n">
        <v>264347</v>
      </c>
    </row>
    <row r="205" customFormat="false" ht="15" hidden="false" customHeight="false" outlineLevel="0" collapsed="false">
      <c r="A205" s="18" t="n">
        <v>28</v>
      </c>
      <c r="B205" s="19"/>
      <c r="C205" s="18" t="s">
        <v>64</v>
      </c>
      <c r="D205" s="13"/>
      <c r="E205" s="13"/>
      <c r="F205" s="18"/>
      <c r="G205" s="20" t="s">
        <v>344</v>
      </c>
      <c r="H205" s="20" t="n">
        <v>264347</v>
      </c>
    </row>
    <row r="206" customFormat="false" ht="15" hidden="false" customHeight="false" outlineLevel="0" collapsed="false">
      <c r="A206" s="18" t="n">
        <v>28</v>
      </c>
      <c r="B206" s="19"/>
      <c r="C206" s="18" t="s">
        <v>222</v>
      </c>
      <c r="D206" s="13"/>
      <c r="E206" s="13"/>
      <c r="F206" s="18"/>
      <c r="G206" s="20" t="s">
        <v>345</v>
      </c>
      <c r="H206" s="20" t="n">
        <v>264347</v>
      </c>
    </row>
    <row r="207" customFormat="false" ht="15" hidden="false" customHeight="false" outlineLevel="0" collapsed="false">
      <c r="A207" s="18" t="n">
        <v>28</v>
      </c>
      <c r="B207" s="19"/>
      <c r="C207" s="18" t="s">
        <v>70</v>
      </c>
      <c r="D207" s="13"/>
      <c r="E207" s="13"/>
      <c r="F207" s="18"/>
      <c r="G207" s="20" t="s">
        <v>346</v>
      </c>
      <c r="H207" s="20" t="n">
        <v>264347</v>
      </c>
    </row>
    <row r="208" customFormat="false" ht="15" hidden="false" customHeight="false" outlineLevel="0" collapsed="false">
      <c r="A208" s="18" t="n">
        <v>28</v>
      </c>
      <c r="B208" s="19"/>
      <c r="C208" s="18" t="s">
        <v>72</v>
      </c>
      <c r="D208" s="13"/>
      <c r="E208" s="13"/>
      <c r="F208" s="18"/>
      <c r="G208" s="20" t="s">
        <v>347</v>
      </c>
      <c r="H208" s="20" t="n">
        <v>264347</v>
      </c>
    </row>
    <row r="209" customFormat="false" ht="15" hidden="false" customHeight="false" outlineLevel="0" collapsed="false">
      <c r="A209" s="18" t="n">
        <v>28</v>
      </c>
      <c r="B209" s="19"/>
      <c r="C209" s="18" t="s">
        <v>228</v>
      </c>
      <c r="D209" s="13"/>
      <c r="E209" s="13"/>
      <c r="F209" s="18"/>
      <c r="G209" s="20" t="s">
        <v>348</v>
      </c>
      <c r="H209" s="20" t="n">
        <v>264347</v>
      </c>
    </row>
    <row r="210" customFormat="false" ht="15" hidden="false" customHeight="false" outlineLevel="0" collapsed="false">
      <c r="A210" s="18" t="n">
        <v>28</v>
      </c>
      <c r="B210" s="19"/>
      <c r="C210" s="18" t="s">
        <v>349</v>
      </c>
      <c r="D210" s="13"/>
      <c r="E210" s="13"/>
      <c r="F210" s="18"/>
      <c r="G210" s="20" t="s">
        <v>350</v>
      </c>
      <c r="H210" s="20" t="n">
        <v>264347</v>
      </c>
    </row>
    <row r="211" customFormat="false" ht="15" hidden="false" customHeight="false" outlineLevel="0" collapsed="false">
      <c r="A211" s="8" t="n">
        <v>31</v>
      </c>
      <c r="B211" s="9" t="s">
        <v>47</v>
      </c>
      <c r="C211" s="8" t="s">
        <v>48</v>
      </c>
      <c r="D211" s="10"/>
      <c r="E211" s="10"/>
      <c r="F211" s="8"/>
      <c r="G211" s="11" t="s">
        <v>351</v>
      </c>
      <c r="H211" s="11" t="n">
        <v>315256</v>
      </c>
    </row>
    <row r="212" customFormat="false" ht="15" hidden="false" customHeight="false" outlineLevel="0" collapsed="false">
      <c r="A212" s="12" t="n">
        <v>31</v>
      </c>
      <c r="C212" s="12" t="s">
        <v>53</v>
      </c>
      <c r="D212" s="13"/>
      <c r="E212" s="13"/>
      <c r="F212" s="12"/>
      <c r="G212" s="14" t="s">
        <v>352</v>
      </c>
      <c r="H212" s="14" t="n">
        <v>315256</v>
      </c>
    </row>
    <row r="213" customFormat="false" ht="15" hidden="false" customHeight="false" outlineLevel="0" collapsed="false">
      <c r="A213" s="12" t="n">
        <v>31</v>
      </c>
      <c r="C213" s="12" t="s">
        <v>353</v>
      </c>
      <c r="D213" s="13"/>
      <c r="E213" s="13"/>
      <c r="F213" s="12"/>
      <c r="G213" s="14" t="s">
        <v>354</v>
      </c>
      <c r="H213" s="14" t="n">
        <v>315256</v>
      </c>
    </row>
    <row r="214" customFormat="false" ht="15" hidden="false" customHeight="false" outlineLevel="0" collapsed="false">
      <c r="A214" s="12" t="n">
        <v>31</v>
      </c>
      <c r="C214" s="12" t="s">
        <v>120</v>
      </c>
      <c r="D214" s="13"/>
      <c r="E214" s="13"/>
      <c r="F214" s="12"/>
      <c r="G214" s="14" t="s">
        <v>355</v>
      </c>
      <c r="H214" s="14" t="n">
        <v>315256</v>
      </c>
    </row>
    <row r="215" customFormat="false" ht="15" hidden="false" customHeight="false" outlineLevel="0" collapsed="false">
      <c r="A215" s="12" t="n">
        <v>31</v>
      </c>
      <c r="C215" s="12" t="s">
        <v>122</v>
      </c>
      <c r="D215" s="13"/>
      <c r="E215" s="13"/>
      <c r="F215" s="12"/>
      <c r="G215" s="14" t="s">
        <v>356</v>
      </c>
      <c r="H215" s="14" t="n">
        <v>315256</v>
      </c>
    </row>
    <row r="216" customFormat="false" ht="15" hidden="false" customHeight="false" outlineLevel="0" collapsed="false">
      <c r="A216" s="12" t="n">
        <v>31</v>
      </c>
      <c r="C216" s="12" t="s">
        <v>55</v>
      </c>
      <c r="D216" s="13"/>
      <c r="E216" s="13"/>
      <c r="F216" s="12"/>
      <c r="G216" s="14" t="s">
        <v>357</v>
      </c>
      <c r="H216" s="14" t="n">
        <v>315256</v>
      </c>
    </row>
    <row r="217" customFormat="false" ht="15" hidden="false" customHeight="false" outlineLevel="0" collapsed="false">
      <c r="A217" s="12" t="n">
        <v>31</v>
      </c>
      <c r="C217" s="12" t="s">
        <v>57</v>
      </c>
      <c r="D217" s="13"/>
      <c r="E217" s="13"/>
      <c r="F217" s="12"/>
      <c r="G217" s="14" t="s">
        <v>358</v>
      </c>
      <c r="H217" s="14" t="n">
        <v>315256</v>
      </c>
    </row>
    <row r="218" customFormat="false" ht="15" hidden="false" customHeight="false" outlineLevel="0" collapsed="false">
      <c r="A218" s="12" t="n">
        <v>31</v>
      </c>
      <c r="C218" s="12" t="s">
        <v>59</v>
      </c>
      <c r="D218" s="13"/>
      <c r="E218" s="13"/>
      <c r="F218" s="12"/>
      <c r="G218" s="14" t="s">
        <v>359</v>
      </c>
      <c r="H218" s="14" t="n">
        <v>315256</v>
      </c>
    </row>
    <row r="219" customFormat="false" ht="15" hidden="false" customHeight="false" outlineLevel="0" collapsed="false">
      <c r="A219" s="12" t="n">
        <v>31</v>
      </c>
      <c r="C219" s="12" t="s">
        <v>360</v>
      </c>
      <c r="D219" s="13"/>
      <c r="E219" s="13"/>
      <c r="F219" s="12"/>
      <c r="G219" s="14" t="s">
        <v>361</v>
      </c>
      <c r="H219" s="14" t="n">
        <v>315256</v>
      </c>
    </row>
    <row r="220" customFormat="false" ht="15" hidden="false" customHeight="false" outlineLevel="0" collapsed="false">
      <c r="A220" s="12" t="n">
        <v>31</v>
      </c>
      <c r="C220" s="12" t="s">
        <v>250</v>
      </c>
      <c r="D220" s="13"/>
      <c r="E220" s="13"/>
      <c r="F220" s="12"/>
      <c r="G220" s="14" t="s">
        <v>362</v>
      </c>
      <c r="H220" s="14" t="n">
        <v>315256</v>
      </c>
    </row>
    <row r="221" customFormat="false" ht="15" hidden="false" customHeight="false" outlineLevel="0" collapsed="false">
      <c r="A221" s="12" t="n">
        <v>31</v>
      </c>
      <c r="C221" s="12" t="s">
        <v>36</v>
      </c>
      <c r="D221" s="13"/>
      <c r="E221" s="13"/>
      <c r="F221" s="12"/>
      <c r="G221" s="14" t="s">
        <v>363</v>
      </c>
      <c r="H221" s="14" t="n">
        <v>315256</v>
      </c>
    </row>
    <row r="222" customFormat="false" ht="15" hidden="false" customHeight="false" outlineLevel="0" collapsed="false">
      <c r="A222" s="12" t="n">
        <v>31</v>
      </c>
      <c r="C222" s="12" t="s">
        <v>364</v>
      </c>
      <c r="D222" s="13"/>
      <c r="E222" s="13"/>
      <c r="F222" s="12"/>
      <c r="G222" s="14" t="s">
        <v>365</v>
      </c>
      <c r="H222" s="14" t="n">
        <v>315256</v>
      </c>
    </row>
    <row r="223" customFormat="false" ht="15" hidden="false" customHeight="false" outlineLevel="0" collapsed="false">
      <c r="A223" s="12" t="n">
        <v>31</v>
      </c>
      <c r="C223" s="12" t="s">
        <v>64</v>
      </c>
      <c r="D223" s="13"/>
      <c r="E223" s="13"/>
      <c r="F223" s="12"/>
      <c r="G223" s="14" t="s">
        <v>366</v>
      </c>
      <c r="H223" s="14" t="n">
        <v>315256</v>
      </c>
    </row>
    <row r="224" customFormat="false" ht="15" hidden="false" customHeight="false" outlineLevel="0" collapsed="false">
      <c r="A224" s="12" t="n">
        <v>31</v>
      </c>
      <c r="C224" s="12" t="s">
        <v>310</v>
      </c>
      <c r="D224" s="13"/>
      <c r="E224" s="13"/>
      <c r="F224" s="12"/>
      <c r="G224" s="14" t="s">
        <v>367</v>
      </c>
      <c r="H224" s="14" t="n">
        <v>315256</v>
      </c>
    </row>
    <row r="225" customFormat="false" ht="15" hidden="false" customHeight="false" outlineLevel="0" collapsed="false">
      <c r="A225" s="12" t="n">
        <v>31</v>
      </c>
      <c r="C225" s="12" t="s">
        <v>140</v>
      </c>
      <c r="D225" s="13"/>
      <c r="E225" s="13"/>
      <c r="F225" s="12"/>
      <c r="G225" s="14" t="s">
        <v>368</v>
      </c>
      <c r="H225" s="14" t="n">
        <v>315256</v>
      </c>
    </row>
    <row r="226" customFormat="false" ht="15" hidden="false" customHeight="false" outlineLevel="0" collapsed="false">
      <c r="A226" s="12" t="n">
        <v>31</v>
      </c>
      <c r="C226" s="12" t="s">
        <v>369</v>
      </c>
      <c r="D226" s="13"/>
      <c r="E226" s="13"/>
      <c r="F226" s="12"/>
      <c r="G226" s="14" t="s">
        <v>370</v>
      </c>
      <c r="H226" s="14" t="n">
        <v>315256</v>
      </c>
    </row>
    <row r="227" customFormat="false" ht="15" hidden="false" customHeight="false" outlineLevel="0" collapsed="false">
      <c r="A227" s="12" t="n">
        <v>31</v>
      </c>
      <c r="C227" s="12" t="s">
        <v>70</v>
      </c>
      <c r="D227" s="13"/>
      <c r="E227" s="13"/>
      <c r="F227" s="12"/>
      <c r="G227" s="14" t="s">
        <v>371</v>
      </c>
      <c r="H227" s="14" t="n">
        <v>315256</v>
      </c>
    </row>
    <row r="228" customFormat="false" ht="15" hidden="false" customHeight="false" outlineLevel="0" collapsed="false">
      <c r="A228" s="12" t="n">
        <v>31</v>
      </c>
      <c r="C228" s="12" t="s">
        <v>72</v>
      </c>
      <c r="D228" s="13"/>
      <c r="E228" s="13"/>
      <c r="F228" s="12"/>
      <c r="G228" s="14" t="s">
        <v>372</v>
      </c>
      <c r="H228" s="14" t="n">
        <v>315256</v>
      </c>
    </row>
    <row r="229" customFormat="false" ht="15" hidden="false" customHeight="false" outlineLevel="0" collapsed="false">
      <c r="A229" s="12" t="n">
        <v>31</v>
      </c>
      <c r="C229" s="12" t="s">
        <v>112</v>
      </c>
      <c r="D229" s="13"/>
      <c r="E229" s="13"/>
      <c r="F229" s="12"/>
      <c r="G229" s="14" t="s">
        <v>373</v>
      </c>
      <c r="H229" s="14" t="n">
        <v>315256</v>
      </c>
    </row>
    <row r="230" customFormat="false" ht="15" hidden="false" customHeight="false" outlineLevel="0" collapsed="false">
      <c r="A230" s="12" t="n">
        <v>31</v>
      </c>
      <c r="C230" s="12" t="s">
        <v>374</v>
      </c>
      <c r="D230" s="13"/>
      <c r="E230" s="13"/>
      <c r="F230" s="12"/>
      <c r="G230" s="14" t="s">
        <v>375</v>
      </c>
      <c r="H230" s="14" t="n">
        <v>315256</v>
      </c>
    </row>
    <row r="231" customFormat="false" ht="15" hidden="false" customHeight="false" outlineLevel="0" collapsed="false">
      <c r="A231" s="12" t="n">
        <v>31</v>
      </c>
      <c r="C231" s="12" t="s">
        <v>376</v>
      </c>
      <c r="D231" s="13"/>
      <c r="E231" s="13"/>
      <c r="F231" s="12"/>
      <c r="G231" s="14" t="s">
        <v>377</v>
      </c>
      <c r="H231" s="14" t="n">
        <v>315256</v>
      </c>
    </row>
    <row r="232" customFormat="false" ht="15" hidden="false" customHeight="false" outlineLevel="0" collapsed="false">
      <c r="A232" s="15" t="n">
        <v>34</v>
      </c>
      <c r="B232" s="16" t="s">
        <v>47</v>
      </c>
      <c r="C232" s="15" t="s">
        <v>378</v>
      </c>
      <c r="D232" s="10"/>
      <c r="E232" s="10"/>
      <c r="F232" s="15"/>
      <c r="G232" s="17" t="s">
        <v>379</v>
      </c>
      <c r="H232" s="17" t="n">
        <v>381330</v>
      </c>
    </row>
    <row r="233" customFormat="false" ht="15" hidden="false" customHeight="false" outlineLevel="0" collapsed="false">
      <c r="A233" s="18" t="n">
        <v>34</v>
      </c>
      <c r="B233" s="19"/>
      <c r="C233" s="18" t="s">
        <v>48</v>
      </c>
      <c r="D233" s="13"/>
      <c r="E233" s="13"/>
      <c r="F233" s="18"/>
      <c r="G233" s="20" t="s">
        <v>380</v>
      </c>
      <c r="H233" s="20" t="n">
        <v>381330</v>
      </c>
    </row>
    <row r="234" customFormat="false" ht="15" hidden="false" customHeight="false" outlineLevel="0" collapsed="false">
      <c r="A234" s="18" t="n">
        <v>34</v>
      </c>
      <c r="B234" s="19"/>
      <c r="C234" s="18" t="s">
        <v>82</v>
      </c>
      <c r="D234" s="13"/>
      <c r="E234" s="13"/>
      <c r="F234" s="18"/>
      <c r="G234" s="20" t="s">
        <v>381</v>
      </c>
      <c r="H234" s="20" t="n">
        <v>381330</v>
      </c>
    </row>
    <row r="235" customFormat="false" ht="15" hidden="false" customHeight="false" outlineLevel="0" collapsed="false">
      <c r="A235" s="18" t="n">
        <v>34</v>
      </c>
      <c r="B235" s="19"/>
      <c r="C235" s="18" t="s">
        <v>53</v>
      </c>
      <c r="D235" s="13"/>
      <c r="E235" s="13"/>
      <c r="F235" s="18"/>
      <c r="G235" s="20" t="s">
        <v>382</v>
      </c>
      <c r="H235" s="20" t="n">
        <v>381330</v>
      </c>
    </row>
    <row r="236" customFormat="false" ht="15" hidden="false" customHeight="false" outlineLevel="0" collapsed="false">
      <c r="A236" s="18" t="n">
        <v>34</v>
      </c>
      <c r="B236" s="19"/>
      <c r="C236" s="18" t="s">
        <v>55</v>
      </c>
      <c r="D236" s="13"/>
      <c r="E236" s="13"/>
      <c r="F236" s="18"/>
      <c r="G236" s="20" t="s">
        <v>383</v>
      </c>
      <c r="H236" s="20" t="n">
        <v>381330</v>
      </c>
    </row>
    <row r="237" customFormat="false" ht="15" hidden="false" customHeight="false" outlineLevel="0" collapsed="false">
      <c r="A237" s="18" t="n">
        <v>34</v>
      </c>
      <c r="B237" s="19"/>
      <c r="C237" s="18" t="s">
        <v>57</v>
      </c>
      <c r="D237" s="13"/>
      <c r="E237" s="13"/>
      <c r="F237" s="18"/>
      <c r="G237" s="20" t="s">
        <v>384</v>
      </c>
      <c r="H237" s="20" t="n">
        <v>381330</v>
      </c>
    </row>
    <row r="238" customFormat="false" ht="15" hidden="false" customHeight="false" outlineLevel="0" collapsed="false">
      <c r="A238" s="18" t="n">
        <v>34</v>
      </c>
      <c r="B238" s="19"/>
      <c r="C238" s="18" t="s">
        <v>59</v>
      </c>
      <c r="D238" s="13"/>
      <c r="E238" s="13"/>
      <c r="F238" s="18"/>
      <c r="G238" s="20" t="s">
        <v>385</v>
      </c>
      <c r="H238" s="20" t="n">
        <v>381330</v>
      </c>
    </row>
    <row r="239" customFormat="false" ht="15" hidden="false" customHeight="false" outlineLevel="0" collapsed="false">
      <c r="A239" s="18" t="n">
        <v>34</v>
      </c>
      <c r="B239" s="19"/>
      <c r="C239" s="18" t="s">
        <v>386</v>
      </c>
      <c r="D239" s="13"/>
      <c r="E239" s="13"/>
      <c r="F239" s="18"/>
      <c r="G239" s="20" t="s">
        <v>387</v>
      </c>
      <c r="H239" s="20" t="n">
        <v>381330</v>
      </c>
    </row>
    <row r="240" customFormat="false" ht="15" hidden="false" customHeight="false" outlineLevel="0" collapsed="false">
      <c r="A240" s="18" t="n">
        <v>34</v>
      </c>
      <c r="B240" s="19"/>
      <c r="C240" s="18" t="s">
        <v>388</v>
      </c>
      <c r="D240" s="13"/>
      <c r="E240" s="13"/>
      <c r="F240" s="18"/>
      <c r="G240" s="20" t="s">
        <v>389</v>
      </c>
      <c r="H240" s="20" t="n">
        <v>381330</v>
      </c>
    </row>
    <row r="241" customFormat="false" ht="15" hidden="false" customHeight="false" outlineLevel="0" collapsed="false">
      <c r="A241" s="18" t="n">
        <v>34</v>
      </c>
      <c r="B241" s="19"/>
      <c r="C241" s="18" t="s">
        <v>90</v>
      </c>
      <c r="D241" s="13"/>
      <c r="E241" s="13"/>
      <c r="F241" s="18"/>
      <c r="G241" s="20" t="s">
        <v>390</v>
      </c>
      <c r="H241" s="20" t="n">
        <v>381330</v>
      </c>
    </row>
    <row r="242" customFormat="false" ht="15" hidden="false" customHeight="false" outlineLevel="0" collapsed="false">
      <c r="A242" s="18" t="n">
        <v>34</v>
      </c>
      <c r="B242" s="19"/>
      <c r="C242" s="18" t="s">
        <v>212</v>
      </c>
      <c r="D242" s="13"/>
      <c r="E242" s="13"/>
      <c r="F242" s="18"/>
      <c r="G242" s="20" t="s">
        <v>391</v>
      </c>
      <c r="H242" s="20" t="n">
        <v>381330</v>
      </c>
    </row>
    <row r="243" customFormat="false" ht="15" hidden="false" customHeight="false" outlineLevel="0" collapsed="false">
      <c r="A243" s="18" t="n">
        <v>34</v>
      </c>
      <c r="B243" s="19"/>
      <c r="C243" s="18" t="s">
        <v>392</v>
      </c>
      <c r="D243" s="13"/>
      <c r="E243" s="13"/>
      <c r="F243" s="18"/>
      <c r="G243" s="20" t="s">
        <v>393</v>
      </c>
      <c r="H243" s="20" t="n">
        <v>381330</v>
      </c>
    </row>
    <row r="244" customFormat="false" ht="15" hidden="false" customHeight="false" outlineLevel="0" collapsed="false">
      <c r="A244" s="18" t="n">
        <v>34</v>
      </c>
      <c r="B244" s="19"/>
      <c r="C244" s="18" t="s">
        <v>36</v>
      </c>
      <c r="D244" s="13"/>
      <c r="E244" s="13"/>
      <c r="F244" s="18"/>
      <c r="G244" s="20" t="s">
        <v>394</v>
      </c>
      <c r="H244" s="20" t="n">
        <v>381330</v>
      </c>
    </row>
    <row r="245" customFormat="false" ht="15" hidden="false" customHeight="false" outlineLevel="0" collapsed="false">
      <c r="A245" s="18" t="n">
        <v>34</v>
      </c>
      <c r="B245" s="19"/>
      <c r="C245" s="18" t="s">
        <v>395</v>
      </c>
      <c r="D245" s="13"/>
      <c r="E245" s="13"/>
      <c r="F245" s="18"/>
      <c r="G245" s="20" t="s">
        <v>396</v>
      </c>
      <c r="H245" s="20" t="n">
        <v>381330</v>
      </c>
    </row>
    <row r="246" customFormat="false" ht="15" hidden="false" customHeight="false" outlineLevel="0" collapsed="false">
      <c r="A246" s="18" t="n">
        <v>34</v>
      </c>
      <c r="B246" s="19"/>
      <c r="C246" s="18" t="s">
        <v>64</v>
      </c>
      <c r="D246" s="13"/>
      <c r="E246" s="13"/>
      <c r="F246" s="18"/>
      <c r="G246" s="20" t="s">
        <v>397</v>
      </c>
      <c r="H246" s="20" t="n">
        <v>381330</v>
      </c>
    </row>
    <row r="247" customFormat="false" ht="15" hidden="false" customHeight="false" outlineLevel="0" collapsed="false">
      <c r="A247" s="18" t="n">
        <v>34</v>
      </c>
      <c r="B247" s="19"/>
      <c r="C247" s="18" t="s">
        <v>398</v>
      </c>
      <c r="D247" s="13"/>
      <c r="E247" s="13"/>
      <c r="F247" s="18"/>
      <c r="G247" s="20" t="s">
        <v>399</v>
      </c>
      <c r="H247" s="20" t="n">
        <v>381330</v>
      </c>
    </row>
    <row r="248" customFormat="false" ht="15" hidden="false" customHeight="false" outlineLevel="0" collapsed="false">
      <c r="A248" s="18" t="n">
        <v>34</v>
      </c>
      <c r="B248" s="19"/>
      <c r="C248" s="18" t="s">
        <v>70</v>
      </c>
      <c r="D248" s="13"/>
      <c r="E248" s="13"/>
      <c r="F248" s="18"/>
      <c r="G248" s="20" t="s">
        <v>400</v>
      </c>
      <c r="H248" s="20" t="n">
        <v>381330</v>
      </c>
    </row>
    <row r="249" customFormat="false" ht="15" hidden="false" customHeight="false" outlineLevel="0" collapsed="false">
      <c r="A249" s="18" t="n">
        <v>34</v>
      </c>
      <c r="B249" s="19"/>
      <c r="C249" s="18" t="s">
        <v>72</v>
      </c>
      <c r="D249" s="13"/>
      <c r="E249" s="13"/>
      <c r="F249" s="18"/>
      <c r="G249" s="20" t="s">
        <v>401</v>
      </c>
      <c r="H249" s="20" t="n">
        <v>381330</v>
      </c>
    </row>
    <row r="250" customFormat="false" ht="15" hidden="false" customHeight="false" outlineLevel="0" collapsed="false">
      <c r="A250" s="18" t="n">
        <v>34</v>
      </c>
      <c r="B250" s="19"/>
      <c r="C250" s="18" t="s">
        <v>228</v>
      </c>
      <c r="D250" s="13"/>
      <c r="E250" s="13"/>
      <c r="F250" s="18"/>
      <c r="G250" s="20" t="s">
        <v>402</v>
      </c>
      <c r="H250" s="20" t="n">
        <v>381330</v>
      </c>
    </row>
    <row r="251" customFormat="false" ht="15" hidden="false" customHeight="false" outlineLevel="0" collapsed="false">
      <c r="A251" s="8" t="n">
        <v>37</v>
      </c>
      <c r="B251" s="9" t="s">
        <v>47</v>
      </c>
      <c r="C251" s="8" t="s">
        <v>48</v>
      </c>
      <c r="D251" s="10"/>
      <c r="E251" s="10"/>
      <c r="F251" s="8"/>
      <c r="G251" s="11" t="s">
        <v>403</v>
      </c>
      <c r="H251" s="11" t="n">
        <v>395701</v>
      </c>
    </row>
    <row r="252" customFormat="false" ht="15" hidden="false" customHeight="false" outlineLevel="0" collapsed="false">
      <c r="A252" s="12" t="n">
        <v>37</v>
      </c>
      <c r="C252" s="12" t="s">
        <v>234</v>
      </c>
      <c r="D252" s="13"/>
      <c r="E252" s="13"/>
      <c r="F252" s="12"/>
      <c r="G252" s="14" t="s">
        <v>404</v>
      </c>
      <c r="H252" s="14" t="n">
        <v>395701</v>
      </c>
    </row>
    <row r="253" customFormat="false" ht="15" hidden="false" customHeight="false" outlineLevel="0" collapsed="false">
      <c r="A253" s="12" t="n">
        <v>37</v>
      </c>
      <c r="C253" s="12" t="s">
        <v>53</v>
      </c>
      <c r="D253" s="13"/>
      <c r="E253" s="13"/>
      <c r="F253" s="12"/>
      <c r="G253" s="14" t="s">
        <v>405</v>
      </c>
      <c r="H253" s="14" t="n">
        <v>395701</v>
      </c>
    </row>
    <row r="254" customFormat="false" ht="15" hidden="false" customHeight="false" outlineLevel="0" collapsed="false">
      <c r="A254" s="12" t="n">
        <v>37</v>
      </c>
      <c r="C254" s="12" t="s">
        <v>55</v>
      </c>
      <c r="D254" s="13"/>
      <c r="E254" s="13"/>
      <c r="F254" s="12"/>
      <c r="G254" s="14" t="s">
        <v>406</v>
      </c>
      <c r="H254" s="14" t="n">
        <v>395701</v>
      </c>
    </row>
    <row r="255" customFormat="false" ht="15" hidden="false" customHeight="false" outlineLevel="0" collapsed="false">
      <c r="A255" s="12" t="n">
        <v>37</v>
      </c>
      <c r="C255" s="12" t="s">
        <v>407</v>
      </c>
      <c r="D255" s="13"/>
      <c r="E255" s="13"/>
      <c r="F255" s="12"/>
      <c r="G255" s="14" t="s">
        <v>408</v>
      </c>
      <c r="H255" s="14" t="n">
        <v>395701</v>
      </c>
    </row>
    <row r="256" customFormat="false" ht="15" hidden="false" customHeight="false" outlineLevel="0" collapsed="false">
      <c r="A256" s="12" t="n">
        <v>37</v>
      </c>
      <c r="C256" s="12" t="s">
        <v>409</v>
      </c>
      <c r="D256" s="13"/>
      <c r="E256" s="13"/>
      <c r="F256" s="12"/>
      <c r="G256" s="14" t="s">
        <v>410</v>
      </c>
      <c r="H256" s="14" t="n">
        <v>395701</v>
      </c>
    </row>
    <row r="257" customFormat="false" ht="15" hidden="false" customHeight="false" outlineLevel="0" collapsed="false">
      <c r="A257" s="12" t="n">
        <v>37</v>
      </c>
      <c r="C257" s="12" t="s">
        <v>57</v>
      </c>
      <c r="D257" s="13"/>
      <c r="E257" s="13"/>
      <c r="F257" s="12"/>
      <c r="G257" s="14" t="s">
        <v>411</v>
      </c>
      <c r="H257" s="14" t="n">
        <v>395701</v>
      </c>
    </row>
    <row r="258" customFormat="false" ht="15" hidden="false" customHeight="false" outlineLevel="0" collapsed="false">
      <c r="A258" s="12" t="n">
        <v>37</v>
      </c>
      <c r="C258" s="12" t="s">
        <v>129</v>
      </c>
      <c r="D258" s="13"/>
      <c r="E258" s="13"/>
      <c r="F258" s="12"/>
      <c r="G258" s="14" t="s">
        <v>412</v>
      </c>
      <c r="H258" s="14" t="n">
        <v>395701</v>
      </c>
    </row>
    <row r="259" customFormat="false" ht="15" hidden="false" customHeight="false" outlineLevel="0" collapsed="false">
      <c r="A259" s="12" t="n">
        <v>37</v>
      </c>
      <c r="C259" s="12" t="s">
        <v>59</v>
      </c>
      <c r="D259" s="13"/>
      <c r="E259" s="13"/>
      <c r="F259" s="12"/>
      <c r="G259" s="14" t="s">
        <v>413</v>
      </c>
      <c r="H259" s="14" t="n">
        <v>395701</v>
      </c>
    </row>
    <row r="260" customFormat="false" ht="15" hidden="false" customHeight="false" outlineLevel="0" collapsed="false">
      <c r="A260" s="12" t="n">
        <v>37</v>
      </c>
      <c r="C260" s="12" t="s">
        <v>252</v>
      </c>
      <c r="D260" s="13"/>
      <c r="E260" s="13"/>
      <c r="F260" s="12"/>
      <c r="G260" s="14" t="s">
        <v>414</v>
      </c>
      <c r="H260" s="14" t="n">
        <v>395701</v>
      </c>
    </row>
    <row r="261" customFormat="false" ht="15" hidden="false" customHeight="false" outlineLevel="0" collapsed="false">
      <c r="A261" s="12" t="n">
        <v>37</v>
      </c>
      <c r="C261" s="12" t="s">
        <v>36</v>
      </c>
      <c r="D261" s="13"/>
      <c r="E261" s="13"/>
      <c r="F261" s="12"/>
      <c r="G261" s="14" t="s">
        <v>415</v>
      </c>
      <c r="H261" s="14" t="n">
        <v>395701</v>
      </c>
    </row>
    <row r="262" customFormat="false" ht="15" hidden="false" customHeight="false" outlineLevel="0" collapsed="false">
      <c r="A262" s="12" t="n">
        <v>37</v>
      </c>
      <c r="C262" s="12" t="s">
        <v>395</v>
      </c>
      <c r="D262" s="13"/>
      <c r="E262" s="13"/>
      <c r="F262" s="12"/>
      <c r="G262" s="14" t="s">
        <v>416</v>
      </c>
      <c r="H262" s="14" t="n">
        <v>395701</v>
      </c>
    </row>
    <row r="263" customFormat="false" ht="15" hidden="false" customHeight="false" outlineLevel="0" collapsed="false">
      <c r="A263" s="12" t="n">
        <v>37</v>
      </c>
      <c r="C263" s="12" t="s">
        <v>417</v>
      </c>
      <c r="D263" s="13"/>
      <c r="E263" s="13"/>
      <c r="F263" s="12"/>
      <c r="G263" s="14" t="s">
        <v>418</v>
      </c>
      <c r="H263" s="14" t="n">
        <v>395701</v>
      </c>
    </row>
    <row r="264" customFormat="false" ht="15" hidden="false" customHeight="false" outlineLevel="0" collapsed="false">
      <c r="A264" s="12" t="n">
        <v>37</v>
      </c>
      <c r="C264" s="12" t="s">
        <v>64</v>
      </c>
      <c r="D264" s="13"/>
      <c r="E264" s="13"/>
      <c r="F264" s="12"/>
      <c r="G264" s="14" t="s">
        <v>419</v>
      </c>
      <c r="H264" s="14" t="n">
        <v>395701</v>
      </c>
    </row>
    <row r="265" customFormat="false" ht="15" hidden="false" customHeight="false" outlineLevel="0" collapsed="false">
      <c r="A265" s="12" t="n">
        <v>37</v>
      </c>
      <c r="C265" s="12" t="s">
        <v>258</v>
      </c>
      <c r="D265" s="13"/>
      <c r="E265" s="13"/>
      <c r="F265" s="12"/>
      <c r="G265" s="14" t="s">
        <v>420</v>
      </c>
      <c r="H265" s="14" t="n">
        <v>395701</v>
      </c>
    </row>
    <row r="266" customFormat="false" ht="15" hidden="false" customHeight="false" outlineLevel="0" collapsed="false">
      <c r="A266" s="12" t="n">
        <v>37</v>
      </c>
      <c r="C266" s="12" t="s">
        <v>398</v>
      </c>
      <c r="D266" s="13"/>
      <c r="E266" s="13"/>
      <c r="F266" s="12"/>
      <c r="G266" s="14" t="s">
        <v>421</v>
      </c>
      <c r="H266" s="14" t="n">
        <v>395701</v>
      </c>
    </row>
    <row r="267" customFormat="false" ht="15" hidden="false" customHeight="false" outlineLevel="0" collapsed="false">
      <c r="A267" s="12" t="n">
        <v>37</v>
      </c>
      <c r="C267" s="12" t="s">
        <v>422</v>
      </c>
      <c r="D267" s="13"/>
      <c r="E267" s="13"/>
      <c r="F267" s="12"/>
      <c r="G267" s="14" t="s">
        <v>423</v>
      </c>
      <c r="H267" s="14" t="n">
        <v>395701</v>
      </c>
    </row>
    <row r="268" customFormat="false" ht="15" hidden="false" customHeight="false" outlineLevel="0" collapsed="false">
      <c r="A268" s="12" t="n">
        <v>37</v>
      </c>
      <c r="C268" s="12" t="s">
        <v>70</v>
      </c>
      <c r="D268" s="13"/>
      <c r="E268" s="13"/>
      <c r="F268" s="12"/>
      <c r="G268" s="14" t="s">
        <v>424</v>
      </c>
      <c r="H268" s="14" t="n">
        <v>395701</v>
      </c>
    </row>
    <row r="269" customFormat="false" ht="15" hidden="false" customHeight="false" outlineLevel="0" collapsed="false">
      <c r="A269" s="12" t="n">
        <v>37</v>
      </c>
      <c r="C269" s="12" t="s">
        <v>72</v>
      </c>
      <c r="D269" s="13"/>
      <c r="E269" s="13"/>
      <c r="F269" s="12"/>
      <c r="G269" s="14" t="s">
        <v>425</v>
      </c>
      <c r="H269" s="14" t="n">
        <v>395701</v>
      </c>
    </row>
    <row r="270" customFormat="false" ht="15" hidden="false" customHeight="false" outlineLevel="0" collapsed="false">
      <c r="A270" s="12" t="n">
        <v>37</v>
      </c>
      <c r="C270" s="12" t="s">
        <v>426</v>
      </c>
      <c r="D270" s="13"/>
      <c r="E270" s="13"/>
      <c r="F270" s="12"/>
      <c r="G270" s="14" t="s">
        <v>427</v>
      </c>
      <c r="H270" s="14" t="n">
        <v>395701</v>
      </c>
    </row>
    <row r="271" customFormat="false" ht="15" hidden="false" customHeight="false" outlineLevel="0" collapsed="false">
      <c r="A271" s="12" t="n">
        <v>37</v>
      </c>
      <c r="C271" s="12" t="s">
        <v>262</v>
      </c>
      <c r="D271" s="13"/>
      <c r="E271" s="13"/>
      <c r="F271" s="12"/>
      <c r="G271" s="14" t="s">
        <v>428</v>
      </c>
      <c r="H271" s="14" t="n">
        <v>395701</v>
      </c>
    </row>
    <row r="272" customFormat="false" ht="15" hidden="false" customHeight="false" outlineLevel="0" collapsed="false">
      <c r="A272" s="12" t="n">
        <v>37</v>
      </c>
      <c r="C272" s="12" t="s">
        <v>264</v>
      </c>
      <c r="D272" s="13"/>
      <c r="E272" s="13"/>
      <c r="F272" s="12"/>
      <c r="G272" s="14" t="s">
        <v>429</v>
      </c>
      <c r="H272" s="14" t="n">
        <v>395701</v>
      </c>
    </row>
    <row r="273" customFormat="false" ht="15" hidden="false" customHeight="false" outlineLevel="0" collapsed="false">
      <c r="A273" s="12" t="n">
        <v>37</v>
      </c>
      <c r="C273" s="12" t="s">
        <v>266</v>
      </c>
      <c r="D273" s="13"/>
      <c r="E273" s="13"/>
      <c r="F273" s="12"/>
      <c r="G273" s="14" t="s">
        <v>430</v>
      </c>
      <c r="H273" s="14" t="n">
        <v>395701</v>
      </c>
    </row>
    <row r="274" customFormat="false" ht="15" hidden="false" customHeight="false" outlineLevel="0" collapsed="false">
      <c r="A274" s="15" t="n">
        <v>40</v>
      </c>
      <c r="B274" s="16" t="s">
        <v>47</v>
      </c>
      <c r="C274" s="15" t="s">
        <v>48</v>
      </c>
      <c r="D274" s="10"/>
      <c r="E274" s="10"/>
      <c r="F274" s="15"/>
      <c r="G274" s="17" t="s">
        <v>431</v>
      </c>
      <c r="H274" s="17" t="n">
        <v>480712</v>
      </c>
    </row>
    <row r="275" customFormat="false" ht="15" hidden="false" customHeight="false" outlineLevel="0" collapsed="false">
      <c r="A275" s="18" t="n">
        <v>40</v>
      </c>
      <c r="B275" s="19"/>
      <c r="C275" s="18" t="s">
        <v>53</v>
      </c>
      <c r="D275" s="13"/>
      <c r="E275" s="13"/>
      <c r="F275" s="18"/>
      <c r="G275" s="20" t="s">
        <v>432</v>
      </c>
      <c r="H275" s="20" t="n">
        <v>480712</v>
      </c>
    </row>
    <row r="276" customFormat="false" ht="15" hidden="false" customHeight="false" outlineLevel="0" collapsed="false">
      <c r="A276" s="18" t="n">
        <v>40</v>
      </c>
      <c r="B276" s="19"/>
      <c r="C276" s="18" t="s">
        <v>120</v>
      </c>
      <c r="D276" s="13"/>
      <c r="E276" s="13"/>
      <c r="F276" s="18"/>
      <c r="G276" s="20" t="s">
        <v>433</v>
      </c>
      <c r="H276" s="20" t="n">
        <v>480712</v>
      </c>
    </row>
    <row r="277" customFormat="false" ht="15" hidden="false" customHeight="false" outlineLevel="0" collapsed="false">
      <c r="A277" s="18" t="n">
        <v>40</v>
      </c>
      <c r="B277" s="19"/>
      <c r="C277" s="18" t="s">
        <v>122</v>
      </c>
      <c r="D277" s="13"/>
      <c r="E277" s="13"/>
      <c r="F277" s="18"/>
      <c r="G277" s="20" t="s">
        <v>434</v>
      </c>
      <c r="H277" s="20" t="n">
        <v>480712</v>
      </c>
    </row>
    <row r="278" customFormat="false" ht="15" hidden="false" customHeight="false" outlineLevel="0" collapsed="false">
      <c r="A278" s="18" t="n">
        <v>40</v>
      </c>
      <c r="B278" s="19"/>
      <c r="C278" s="18" t="s">
        <v>55</v>
      </c>
      <c r="D278" s="13"/>
      <c r="E278" s="13"/>
      <c r="F278" s="18"/>
      <c r="G278" s="20" t="s">
        <v>435</v>
      </c>
      <c r="H278" s="20" t="n">
        <v>480712</v>
      </c>
    </row>
    <row r="279" customFormat="false" ht="15" hidden="false" customHeight="false" outlineLevel="0" collapsed="false">
      <c r="A279" s="18" t="n">
        <v>40</v>
      </c>
      <c r="B279" s="19"/>
      <c r="C279" s="18" t="s">
        <v>57</v>
      </c>
      <c r="D279" s="13"/>
      <c r="E279" s="13"/>
      <c r="F279" s="18"/>
      <c r="G279" s="20" t="s">
        <v>436</v>
      </c>
      <c r="H279" s="20" t="n">
        <v>480712</v>
      </c>
    </row>
    <row r="280" customFormat="false" ht="15" hidden="false" customHeight="false" outlineLevel="0" collapsed="false">
      <c r="A280" s="18" t="n">
        <v>40</v>
      </c>
      <c r="B280" s="19"/>
      <c r="C280" s="18" t="s">
        <v>59</v>
      </c>
      <c r="D280" s="13"/>
      <c r="E280" s="13"/>
      <c r="F280" s="18"/>
      <c r="G280" s="20" t="s">
        <v>437</v>
      </c>
      <c r="H280" s="20" t="n">
        <v>480712</v>
      </c>
    </row>
    <row r="281" customFormat="false" ht="15" hidden="false" customHeight="false" outlineLevel="0" collapsed="false">
      <c r="A281" s="18" t="n">
        <v>40</v>
      </c>
      <c r="B281" s="19"/>
      <c r="C281" s="18" t="s">
        <v>438</v>
      </c>
      <c r="D281" s="13"/>
      <c r="E281" s="13"/>
      <c r="F281" s="18"/>
      <c r="G281" s="20" t="s">
        <v>439</v>
      </c>
      <c r="H281" s="20" t="n">
        <v>480712</v>
      </c>
    </row>
    <row r="282" customFormat="false" ht="15" hidden="false" customHeight="false" outlineLevel="0" collapsed="false">
      <c r="A282" s="18" t="n">
        <v>40</v>
      </c>
      <c r="B282" s="19"/>
      <c r="C282" s="18" t="s">
        <v>250</v>
      </c>
      <c r="D282" s="13"/>
      <c r="E282" s="13"/>
      <c r="F282" s="18"/>
      <c r="G282" s="20" t="s">
        <v>440</v>
      </c>
      <c r="H282" s="20" t="n">
        <v>480712</v>
      </c>
    </row>
    <row r="283" customFormat="false" ht="15" hidden="false" customHeight="false" outlineLevel="0" collapsed="false">
      <c r="A283" s="18" t="n">
        <v>40</v>
      </c>
      <c r="B283" s="19"/>
      <c r="C283" s="18" t="s">
        <v>36</v>
      </c>
      <c r="D283" s="13"/>
      <c r="E283" s="13"/>
      <c r="F283" s="18"/>
      <c r="G283" s="20" t="s">
        <v>441</v>
      </c>
      <c r="H283" s="20" t="n">
        <v>480712</v>
      </c>
    </row>
    <row r="284" customFormat="false" ht="15" hidden="false" customHeight="false" outlineLevel="0" collapsed="false">
      <c r="A284" s="18" t="n">
        <v>40</v>
      </c>
      <c r="B284" s="19"/>
      <c r="C284" s="18" t="s">
        <v>64</v>
      </c>
      <c r="D284" s="13"/>
      <c r="E284" s="13"/>
      <c r="F284" s="18"/>
      <c r="G284" s="20" t="s">
        <v>442</v>
      </c>
      <c r="H284" s="20" t="n">
        <v>480712</v>
      </c>
    </row>
    <row r="285" customFormat="false" ht="15" hidden="false" customHeight="false" outlineLevel="0" collapsed="false">
      <c r="A285" s="18" t="n">
        <v>40</v>
      </c>
      <c r="B285" s="19"/>
      <c r="C285" s="18" t="s">
        <v>310</v>
      </c>
      <c r="D285" s="13"/>
      <c r="E285" s="13"/>
      <c r="F285" s="18"/>
      <c r="G285" s="20" t="s">
        <v>443</v>
      </c>
      <c r="H285" s="20" t="n">
        <v>480712</v>
      </c>
    </row>
    <row r="286" customFormat="false" ht="15" hidden="false" customHeight="false" outlineLevel="0" collapsed="false">
      <c r="A286" s="18" t="n">
        <v>40</v>
      </c>
      <c r="B286" s="19"/>
      <c r="C286" s="18" t="s">
        <v>140</v>
      </c>
      <c r="D286" s="13"/>
      <c r="E286" s="13"/>
      <c r="F286" s="18"/>
      <c r="G286" s="20" t="s">
        <v>444</v>
      </c>
      <c r="H286" s="20" t="n">
        <v>480712</v>
      </c>
    </row>
    <row r="287" customFormat="false" ht="15" hidden="false" customHeight="false" outlineLevel="0" collapsed="false">
      <c r="A287" s="18" t="n">
        <v>40</v>
      </c>
      <c r="B287" s="19"/>
      <c r="C287" s="18" t="s">
        <v>445</v>
      </c>
      <c r="D287" s="13"/>
      <c r="E287" s="13"/>
      <c r="F287" s="18"/>
      <c r="G287" s="20" t="s">
        <v>446</v>
      </c>
      <c r="H287" s="20" t="n">
        <v>480712</v>
      </c>
    </row>
    <row r="288" customFormat="false" ht="15" hidden="false" customHeight="false" outlineLevel="0" collapsed="false">
      <c r="A288" s="18" t="n">
        <v>40</v>
      </c>
      <c r="B288" s="19"/>
      <c r="C288" s="18" t="s">
        <v>70</v>
      </c>
      <c r="D288" s="13"/>
      <c r="E288" s="13"/>
      <c r="F288" s="18"/>
      <c r="G288" s="20" t="s">
        <v>447</v>
      </c>
      <c r="H288" s="20" t="n">
        <v>480712</v>
      </c>
    </row>
    <row r="289" customFormat="false" ht="15" hidden="false" customHeight="false" outlineLevel="0" collapsed="false">
      <c r="A289" s="18" t="n">
        <v>40</v>
      </c>
      <c r="B289" s="19"/>
      <c r="C289" s="18" t="s">
        <v>72</v>
      </c>
      <c r="D289" s="13"/>
      <c r="E289" s="13"/>
      <c r="F289" s="18"/>
      <c r="G289" s="20" t="s">
        <v>448</v>
      </c>
      <c r="H289" s="20" t="n">
        <v>480712</v>
      </c>
    </row>
    <row r="290" customFormat="false" ht="15" hidden="false" customHeight="false" outlineLevel="0" collapsed="false">
      <c r="A290" s="18" t="n">
        <v>40</v>
      </c>
      <c r="B290" s="19"/>
      <c r="C290" s="18" t="s">
        <v>449</v>
      </c>
      <c r="D290" s="13"/>
      <c r="E290" s="13"/>
      <c r="F290" s="18"/>
      <c r="G290" s="20" t="s">
        <v>450</v>
      </c>
      <c r="H290" s="20" t="n">
        <v>480712</v>
      </c>
    </row>
    <row r="291" customFormat="false" ht="15" hidden="false" customHeight="false" outlineLevel="0" collapsed="false">
      <c r="A291" s="18" t="n">
        <v>40</v>
      </c>
      <c r="B291" s="19"/>
      <c r="C291" s="18" t="s">
        <v>349</v>
      </c>
      <c r="D291" s="13"/>
      <c r="E291" s="13"/>
      <c r="F291" s="18"/>
      <c r="G291" s="20" t="s">
        <v>451</v>
      </c>
      <c r="H291" s="20" t="n">
        <v>480712</v>
      </c>
    </row>
    <row r="292" customFormat="false" ht="15" hidden="false" customHeight="false" outlineLevel="0" collapsed="false">
      <c r="A292" s="8" t="n">
        <v>43</v>
      </c>
      <c r="B292" s="9" t="s">
        <v>47</v>
      </c>
      <c r="C292" s="8" t="s">
        <v>48</v>
      </c>
      <c r="D292" s="10"/>
      <c r="E292" s="10"/>
      <c r="F292" s="8"/>
      <c r="G292" s="11" t="s">
        <v>452</v>
      </c>
      <c r="H292" s="11" t="n">
        <v>492719</v>
      </c>
    </row>
    <row r="293" customFormat="false" ht="15" hidden="false" customHeight="false" outlineLevel="0" collapsed="false">
      <c r="A293" s="12" t="n">
        <v>43</v>
      </c>
      <c r="C293" s="12" t="s">
        <v>50</v>
      </c>
      <c r="D293" s="13"/>
      <c r="E293" s="13"/>
      <c r="F293" s="12"/>
      <c r="G293" s="14" t="s">
        <v>453</v>
      </c>
      <c r="H293" s="14" t="n">
        <v>492719</v>
      </c>
    </row>
    <row r="294" customFormat="false" ht="15" hidden="false" customHeight="false" outlineLevel="0" collapsed="false">
      <c r="A294" s="12" t="n">
        <v>43</v>
      </c>
      <c r="C294" s="12" t="s">
        <v>34</v>
      </c>
      <c r="D294" s="13"/>
      <c r="E294" s="13"/>
      <c r="F294" s="12"/>
      <c r="G294" s="14" t="s">
        <v>454</v>
      </c>
      <c r="H294" s="14" t="n">
        <v>492719</v>
      </c>
    </row>
    <row r="295" customFormat="false" ht="15" hidden="false" customHeight="false" outlineLevel="0" collapsed="false">
      <c r="A295" s="12" t="n">
        <v>43</v>
      </c>
      <c r="C295" s="12" t="s">
        <v>53</v>
      </c>
      <c r="D295" s="13"/>
      <c r="E295" s="13"/>
      <c r="F295" s="12"/>
      <c r="G295" s="14" t="s">
        <v>455</v>
      </c>
      <c r="H295" s="14" t="n">
        <v>492719</v>
      </c>
    </row>
    <row r="296" customFormat="false" ht="15" hidden="false" customHeight="false" outlineLevel="0" collapsed="false">
      <c r="A296" s="12" t="n">
        <v>43</v>
      </c>
      <c r="C296" s="12" t="s">
        <v>120</v>
      </c>
      <c r="D296" s="13"/>
      <c r="E296" s="13"/>
      <c r="F296" s="12"/>
      <c r="G296" s="14" t="s">
        <v>456</v>
      </c>
      <c r="H296" s="14" t="n">
        <v>492719</v>
      </c>
    </row>
    <row r="297" customFormat="false" ht="15" hidden="false" customHeight="false" outlineLevel="0" collapsed="false">
      <c r="A297" s="12" t="n">
        <v>43</v>
      </c>
      <c r="C297" s="12" t="s">
        <v>55</v>
      </c>
      <c r="D297" s="13"/>
      <c r="E297" s="13"/>
      <c r="F297" s="12"/>
      <c r="G297" s="14" t="s">
        <v>457</v>
      </c>
      <c r="H297" s="14" t="n">
        <v>492719</v>
      </c>
    </row>
    <row r="298" customFormat="false" ht="15" hidden="false" customHeight="false" outlineLevel="0" collapsed="false">
      <c r="A298" s="12" t="n">
        <v>43</v>
      </c>
      <c r="C298" s="12" t="s">
        <v>57</v>
      </c>
      <c r="D298" s="13"/>
      <c r="E298" s="13"/>
      <c r="F298" s="12"/>
      <c r="G298" s="14" t="s">
        <v>458</v>
      </c>
      <c r="H298" s="14" t="n">
        <v>492719</v>
      </c>
    </row>
    <row r="299" customFormat="false" ht="15" hidden="false" customHeight="false" outlineLevel="0" collapsed="false">
      <c r="A299" s="12" t="n">
        <v>43</v>
      </c>
      <c r="C299" s="12" t="s">
        <v>59</v>
      </c>
      <c r="D299" s="13"/>
      <c r="E299" s="13"/>
      <c r="F299" s="12"/>
      <c r="G299" s="14" t="s">
        <v>459</v>
      </c>
      <c r="H299" s="14" t="n">
        <v>492719</v>
      </c>
    </row>
    <row r="300" customFormat="false" ht="15" hidden="false" customHeight="false" outlineLevel="0" collapsed="false">
      <c r="A300" s="12" t="n">
        <v>43</v>
      </c>
      <c r="C300" s="12" t="s">
        <v>29</v>
      </c>
      <c r="D300" s="13"/>
      <c r="E300" s="13"/>
      <c r="F300" s="12"/>
      <c r="G300" s="14" t="s">
        <v>460</v>
      </c>
      <c r="H300" s="14" t="n">
        <v>492719</v>
      </c>
    </row>
    <row r="301" customFormat="false" ht="15" hidden="false" customHeight="false" outlineLevel="0" collapsed="false">
      <c r="A301" s="12" t="n">
        <v>43</v>
      </c>
      <c r="C301" s="12" t="s">
        <v>36</v>
      </c>
      <c r="D301" s="13"/>
      <c r="E301" s="13"/>
      <c r="F301" s="12"/>
      <c r="G301" s="14" t="s">
        <v>461</v>
      </c>
      <c r="H301" s="14" t="n">
        <v>492719</v>
      </c>
    </row>
    <row r="302" customFormat="false" ht="15" hidden="false" customHeight="false" outlineLevel="0" collapsed="false">
      <c r="A302" s="12" t="n">
        <v>43</v>
      </c>
      <c r="C302" s="12" t="s">
        <v>64</v>
      </c>
      <c r="D302" s="13"/>
      <c r="E302" s="13"/>
      <c r="F302" s="12"/>
      <c r="G302" s="14" t="s">
        <v>462</v>
      </c>
      <c r="H302" s="14" t="n">
        <v>492719</v>
      </c>
    </row>
    <row r="303" customFormat="false" ht="15" hidden="false" customHeight="false" outlineLevel="0" collapsed="false">
      <c r="A303" s="12" t="n">
        <v>43</v>
      </c>
      <c r="C303" s="12" t="s">
        <v>258</v>
      </c>
      <c r="D303" s="13"/>
      <c r="E303" s="13"/>
      <c r="F303" s="12"/>
      <c r="G303" s="14" t="s">
        <v>463</v>
      </c>
      <c r="H303" s="14" t="n">
        <v>492719</v>
      </c>
    </row>
    <row r="304" customFormat="false" ht="15" hidden="false" customHeight="false" outlineLevel="0" collapsed="false">
      <c r="A304" s="12" t="n">
        <v>43</v>
      </c>
      <c r="C304" s="12" t="s">
        <v>70</v>
      </c>
      <c r="D304" s="13"/>
      <c r="E304" s="13"/>
      <c r="F304" s="12"/>
      <c r="G304" s="14" t="s">
        <v>464</v>
      </c>
      <c r="H304" s="14" t="n">
        <v>492719</v>
      </c>
    </row>
    <row r="305" customFormat="false" ht="15" hidden="false" customHeight="false" outlineLevel="0" collapsed="false">
      <c r="A305" s="12" t="n">
        <v>43</v>
      </c>
      <c r="C305" s="12" t="s">
        <v>465</v>
      </c>
      <c r="D305" s="13"/>
      <c r="E305" s="13"/>
      <c r="F305" s="12"/>
      <c r="G305" s="14" t="s">
        <v>466</v>
      </c>
      <c r="H305" s="14" t="n">
        <v>492719</v>
      </c>
    </row>
    <row r="306" customFormat="false" ht="15" hidden="false" customHeight="false" outlineLevel="0" collapsed="false">
      <c r="A306" s="12" t="n">
        <v>43</v>
      </c>
      <c r="C306" s="12" t="s">
        <v>72</v>
      </c>
      <c r="D306" s="13"/>
      <c r="E306" s="13"/>
      <c r="F306" s="12"/>
      <c r="G306" s="14" t="s">
        <v>467</v>
      </c>
      <c r="H306" s="14" t="n">
        <v>492719</v>
      </c>
    </row>
    <row r="307" customFormat="false" ht="15" hidden="false" customHeight="false" outlineLevel="0" collapsed="false">
      <c r="A307" s="12" t="n">
        <v>43</v>
      </c>
      <c r="C307" s="12" t="s">
        <v>74</v>
      </c>
      <c r="D307" s="13"/>
      <c r="E307" s="13"/>
      <c r="F307" s="12"/>
      <c r="G307" s="14" t="s">
        <v>468</v>
      </c>
      <c r="H307" s="14" t="n">
        <v>492719</v>
      </c>
    </row>
    <row r="308" customFormat="false" ht="15" hidden="false" customHeight="false" outlineLevel="0" collapsed="false">
      <c r="A308" s="12" t="n">
        <v>43</v>
      </c>
      <c r="C308" s="12" t="s">
        <v>76</v>
      </c>
      <c r="D308" s="13"/>
      <c r="E308" s="13"/>
      <c r="F308" s="12"/>
      <c r="G308" s="14" t="s">
        <v>469</v>
      </c>
      <c r="H308" s="14" t="n">
        <v>492719</v>
      </c>
    </row>
    <row r="309" customFormat="false" ht="15" hidden="false" customHeight="false" outlineLevel="0" collapsed="false">
      <c r="A309" s="12" t="n">
        <v>43</v>
      </c>
      <c r="C309" s="12" t="s">
        <v>78</v>
      </c>
      <c r="D309" s="13"/>
      <c r="E309" s="13"/>
      <c r="F309" s="12"/>
      <c r="G309" s="14" t="s">
        <v>470</v>
      </c>
      <c r="H309" s="14" t="n">
        <v>492719</v>
      </c>
    </row>
    <row r="310" customFormat="false" ht="15" hidden="false" customHeight="false" outlineLevel="0" collapsed="false">
      <c r="A310" s="12" t="n">
        <v>43</v>
      </c>
      <c r="C310" s="12" t="s">
        <v>26</v>
      </c>
      <c r="D310" s="13"/>
      <c r="E310" s="13"/>
      <c r="F310" s="12"/>
      <c r="G310" s="14" t="s">
        <v>471</v>
      </c>
      <c r="H310" s="14" t="n">
        <v>492719</v>
      </c>
    </row>
  </sheetData>
  <autoFilter ref="A1:H310"/>
  <conditionalFormatting sqref="E2:E310">
    <cfRule type="expression" priority="2" aboveAverage="0" equalAverage="0" bottom="0" percent="0" rank="0" text="" dxfId="8">
      <formula>AND($D2="N",$E2&lt;&gt;"")</formula>
    </cfRule>
    <cfRule type="expression" priority="3" aboveAverage="0" equalAverage="0" bottom="0" percent="0" rank="0" text="" dxfId="9">
      <formula>$D2="N"</formula>
    </cfRule>
  </conditionalFormatting>
  <conditionalFormatting sqref="D2:E310">
    <cfRule type="expression" priority="4" aboveAverage="0" equalAverage="0" bottom="0" percent="0" rank="0" text="" dxfId="10">
      <formula>D2&lt;&gt;""</formula>
    </cfRule>
  </conditionalFormatting>
  <dataValidations count="1">
    <dataValidation allowBlank="true" error="Please choose Y or N from the list." errorStyle="stop" errorTitle="Y or N" operator="between" showDropDown="false" showErrorMessage="true" showInputMessage="false" sqref="D2:E310" type="list">
      <formula1>"Y,N"</formula1>
      <formula2>0</formula2>
    </dataValidation>
  </dataValidations>
  <hyperlinks>
    <hyperlink ref="B2" r:id="rId1" display="Open photo"/>
    <hyperlink ref="B20" r:id="rId2" display="Open photo"/>
    <hyperlink ref="B42" r:id="rId3" display="Open photo"/>
    <hyperlink ref="B60" r:id="rId4" display="Open photo"/>
    <hyperlink ref="B79" r:id="rId5" display="Open photo"/>
    <hyperlink ref="B102" r:id="rId6" display="Open photo"/>
    <hyperlink ref="B124" r:id="rId7" display="Open photo"/>
    <hyperlink ref="B147" r:id="rId8" display="Open photo"/>
    <hyperlink ref="B166" r:id="rId9" display="Open photo"/>
    <hyperlink ref="B187" r:id="rId10" display="Open photo"/>
    <hyperlink ref="B211" r:id="rId11" display="Open photo"/>
    <hyperlink ref="B232" r:id="rId12" display="Open photo"/>
    <hyperlink ref="B251" r:id="rId13" display="Open photo"/>
    <hyperlink ref="B274" r:id="rId14" display="Open photo"/>
    <hyperlink ref="B292" r:id="rId15" display="Open phot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6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21" t="s">
        <v>472</v>
      </c>
    </row>
    <row r="2" customFormat="false" ht="15" hidden="false" customHeight="false" outlineLevel="0" collapsed="false">
      <c r="A2" s="22" t="s">
        <v>473</v>
      </c>
      <c r="B2" s="22" t="n">
        <f aca="false">COUNTA(Rating!$C$2:$C$310)</f>
        <v>309</v>
      </c>
    </row>
    <row r="3" customFormat="false" ht="15" hidden="false" customHeight="false" outlineLevel="0" collapsed="false">
      <c r="A3" s="22" t="s">
        <v>474</v>
      </c>
      <c r="B3" s="22" t="n">
        <f aca="false">COUNTIF(Rating!$D$2:$D$310,"Y")+COUNTIF(Rating!$D$2:$D$310,"N")</f>
        <v>0</v>
      </c>
    </row>
    <row r="4" customFormat="false" ht="15" hidden="false" customHeight="false" outlineLevel="0" collapsed="false">
      <c r="A4" s="22" t="s">
        <v>475</v>
      </c>
      <c r="B4" s="22" t="n">
        <f aca="false">COUNTIF(Rating!$D$2:$D$310,"Y")</f>
        <v>0</v>
      </c>
    </row>
    <row r="5" customFormat="false" ht="15" hidden="false" customHeight="false" outlineLevel="0" collapsed="false">
      <c r="A5" s="22" t="s">
        <v>476</v>
      </c>
      <c r="B5" s="22" t="n">
        <f aca="false">COUNTIFS(Rating!$D$2:$D$310,"Y",Rating!$E$2:$E$310,"Y")+COUNTIFS(Rating!$D$2:$D$310,"Y",Rating!$E$2:$E$310,"N")</f>
        <v>0</v>
      </c>
    </row>
    <row r="6" customFormat="false" ht="15" hidden="false" customHeight="false" outlineLevel="0" collapsed="false">
      <c r="A6" s="22" t="s">
        <v>477</v>
      </c>
      <c r="B6" s="22" t="n">
        <f aca="false">(B3-B4)+B5</f>
        <v>0</v>
      </c>
    </row>
    <row r="7" customFormat="false" ht="15" hidden="false" customHeight="false" outlineLevel="0" collapsed="false">
      <c r="A7" s="22" t="s">
        <v>478</v>
      </c>
      <c r="B7" s="23" t="n">
        <f aca="false">IF(B2=0,0,B6/B2)</f>
        <v>0</v>
      </c>
    </row>
    <row r="8" customFormat="false" ht="15" hidden="false" customHeight="false" outlineLevel="0" collapsed="false">
      <c r="A8" s="22"/>
    </row>
    <row r="9" customFormat="false" ht="15" hidden="false" customHeight="false" outlineLevel="0" collapsed="false">
      <c r="A9" s="24" t="s">
        <v>479</v>
      </c>
    </row>
    <row r="10" customFormat="false" ht="15" hidden="false" customHeight="false" outlineLevel="0" collapsed="false">
      <c r="A10" s="22" t="s">
        <v>480</v>
      </c>
      <c r="B10" s="25" t="n">
        <f aca="false">B2-B3</f>
        <v>309</v>
      </c>
    </row>
    <row r="11" customFormat="false" ht="15" hidden="false" customHeight="false" outlineLevel="0" collapsed="false">
      <c r="A11" s="22" t="s">
        <v>481</v>
      </c>
      <c r="B11" s="25" t="n">
        <f aca="false">B4-B5</f>
        <v>0</v>
      </c>
    </row>
    <row r="12" customFormat="false" ht="15" hidden="false" customHeight="false" outlineLevel="0" collapsed="false">
      <c r="A12" s="22" t="s">
        <v>482</v>
      </c>
      <c r="B12" s="25" t="n">
        <f aca="false">COUNTIFS(Rating!$D$2:$D$310,"N",Rating!$E$2:$E$310,"&lt;&gt;")</f>
        <v>0</v>
      </c>
    </row>
    <row r="13" customFormat="false" ht="15" hidden="false" customHeight="false" outlineLevel="0" collapsed="false">
      <c r="A13" s="22" t="s">
        <v>483</v>
      </c>
      <c r="B13" s="22" t="n">
        <f aca="false">SUMPRODUCT(--(COUNTIFS(Rating!$A$2:$A$310,Rating!$A$2:$A$310,Rating!$D$2:$D$310,"")=0))/1</f>
        <v>0</v>
      </c>
    </row>
  </sheetData>
  <conditionalFormatting sqref="B10:B12">
    <cfRule type="expression" priority="2" aboveAverage="0" equalAverage="0" bottom="0" percent="0" rank="0" text="" dxfId="8">
      <formula>B10&gt;0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2026-09-23T09:13:20Z</dcterms:created>
  <dc:creator>openpyxl</dc:creator>
  <dc:description/>
  <dc:language>en-US</dc:language>
  <cp:lastModifiedBy/>
  <dcterms:modified xsi:type="dcterms:W3CDTF">2026-09-23T09:13:20Z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